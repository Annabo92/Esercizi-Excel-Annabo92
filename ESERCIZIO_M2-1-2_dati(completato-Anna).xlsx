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nar\Desktop\EPICODE\Excel\Esercizi completati\"/>
    </mc:Choice>
  </mc:AlternateContent>
  <xr:revisionPtr revIDLastSave="0" documentId="13_ncr:1_{37D32B56-7236-4ED1-A629-1EBFDE6718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cheggio" sheetId="1" r:id="rId1"/>
    <sheet name="Frutta" sheetId="2" r:id="rId2"/>
  </sheets>
  <definedNames>
    <definedName name="ORE_PARCHEGGIATE">Parcheggio!$B$2:$B$101</definedName>
    <definedName name="TARGA">Parcheggio!$A$2:$A$101</definedName>
    <definedName name="TIPOLOGIA_VEICOLO">Parcheggio!$C$2:$C$101</definedName>
  </definedNames>
  <calcPr calcId="191029"/>
</workbook>
</file>

<file path=xl/calcChain.xml><?xml version="1.0" encoding="utf-8"?>
<calcChain xmlns="http://schemas.openxmlformats.org/spreadsheetml/2006/main">
  <c r="H5" i="2" l="1"/>
  <c r="H2" i="2"/>
  <c r="H4" i="2"/>
  <c r="H6" i="2"/>
  <c r="H3" i="2"/>
  <c r="G3" i="2"/>
  <c r="G4" i="2"/>
  <c r="G5" i="2"/>
  <c r="G6" i="2"/>
  <c r="G2" i="2"/>
  <c r="F3" i="2"/>
  <c r="F4" i="2"/>
  <c r="F5" i="2"/>
  <c r="F6" i="2"/>
  <c r="F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  <c r="C2" i="1"/>
  <c r="D2" i="1" s="1"/>
</calcChain>
</file>

<file path=xl/sharedStrings.xml><?xml version="1.0" encoding="utf-8"?>
<sst xmlns="http://schemas.openxmlformats.org/spreadsheetml/2006/main" count="172" uniqueCount="124">
  <si>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</si>
  <si>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</si>
  <si>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</si>
  <si>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</si>
  <si>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</si>
  <si>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</si>
  <si>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</si>
  <si>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</si>
  <si>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</si>
  <si>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</si>
  <si>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</si>
  <si>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</si>
  <si>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</si>
  <si>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</si>
  <si>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</si>
  <si>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</si>
  <si>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</si>
  <si>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</si>
  <si>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</si>
  <si>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</si>
  <si>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</si>
  <si>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</si>
  <si>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</si>
  <si>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</si>
  <si>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</si>
  <si>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</si>
  <si>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</si>
  <si>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</si>
  <si>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</si>
  <si>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</si>
  <si>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</si>
  <si>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</si>
  <si>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</si>
  <si>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</si>
  <si>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</si>
  <si>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</si>
  <si>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</si>
  <si>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</si>
  <si>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</si>
  <si>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</si>
  <si>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</si>
  <si>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</si>
  <si>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</si>
  <si>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</si>
  <si>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</si>
  <si>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</si>
  <si>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</si>
  <si>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</si>
  <si>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</si>
  <si>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</si>
  <si>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</si>
  <si>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</si>
  <si>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</si>
  <si>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</si>
  <si>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</si>
  <si>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</si>
  <si>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</si>
  <si>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</si>
  <si>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</si>
  <si>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</si>
  <si>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</si>
  <si>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</si>
  <si>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</si>
  <si>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</si>
  <si>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</si>
  <si>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</si>
  <si>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</si>
  <si>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</si>
  <si>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</si>
  <si>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</si>
  <si>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</si>
  <si>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</si>
  <si>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</si>
  <si>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</si>
  <si>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</si>
  <si>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</si>
  <si>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</si>
  <si>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</si>
  <si>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</si>
  <si>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</si>
  <si>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</si>
  <si>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</si>
  <si>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</si>
  <si>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</si>
  <si>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</si>
  <si>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</si>
  <si>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</si>
  <si>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</si>
  <si>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</si>
  <si>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</si>
  <si>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</si>
  <si>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</si>
  <si>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</si>
  <si>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</si>
  <si>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</si>
  <si>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</si>
  <si>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</si>
  <si>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</si>
  <si>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</si>
  <si>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</si>
  <si>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</si>
  <si>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</si>
  <si>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</si>
  <si>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</si>
  <si>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</si>
  <si>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</si>
  <si>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</si>
  <si>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</si>
  <si>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</si>
  <si>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</si>
  <si>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CATEGORIA</t>
  </si>
  <si>
    <t>A-F</t>
  </si>
  <si>
    <t>G-M</t>
  </si>
  <si>
    <t>N-Z</t>
  </si>
  <si>
    <t>TARIFFA PARCHEGGIO</t>
  </si>
  <si>
    <t>COSTO TOTALE PARCHEGGIO</t>
  </si>
  <si>
    <t xml:space="preserve">ESERCIZIO 1: La colonna C (“tipologia veicoloˮ) va popolata come segue: Se la targa presente in colonna A inizia con una lettera compresa tra la A e la F (incluse), inserite uno zero 0. Se la targa presente in colonna A inizia con una lettera compresa tra la G e la M (incluse), inserite un uno 1. Se la targa presente in colonna A inizia con una lettera compresa tra la N e la Z (incluse), inserite un due 2. Considerate ora che il parcheggio in questione costa: 2€ ogni 30 minuti per i veicoli di categoria 0, 1,5€ ogni 30 minuti per i veicoli di cateogoria 1, 2€ ogni ora per i veicoli di cateogira 2. Popolate la colonna D (“costoˮ) rispettando la logica sopra indicata. </t>
  </si>
  <si>
    <t>ESERCIZIO 3 Utilizzando una o più colonne libere, calcolate il totale di ogni frutto (ad esempio, per le banane: sommate i valori di colonna B se, nella stessa riga, in colonna A, compare “Bananaˮ).</t>
  </si>
  <si>
    <t xml:space="preserve">ESERCIZIO 2  Utilizzando una o più colonne libere (ad esempio la D per indicare il soggetto e la E per il conteggio) contate quante volte ogni frutto compare nella colonna A. </t>
  </si>
  <si>
    <t>SOGGETTO</t>
  </si>
  <si>
    <t>CONTEGGIO</t>
  </si>
  <si>
    <t>PESO TOTALE</t>
  </si>
  <si>
    <t>ESERCIZIO 4 Utilizzando una o più colonne libere, calcolate il costo totale di mele vendute solo nel caso in cui il peso sia superiore a 80 (sommate i valori di colonna C se, nella stessa riga, in colonna A, compare “Melaˮ e in colonna B compare un valore maggiore di 80.</t>
  </si>
  <si>
    <t>TOTALE VENDUTO FRUTTA &gt;80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</si>
</sst>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1"/>
  <sheetViews>
    <sheetView zoomScale="101" workbookViewId="0">
      <selection activeCell="F7" sqref="F7:J18"/>
    </sheetView>
  </sheetViews>
  <sheetFormatPr defaultColWidth="12.6640625" defaultRowHeight="15.75" customHeight="1" x14ac:dyDescent="0.25"/>
  <cols>
    <col min="2" max="2" width="25.33203125" customWidth="1"/>
    <col min="3" max="3" width="22" bestFit="1" customWidth="1"/>
    <col min="4" max="4" width="33.33203125" bestFit="1" customWidth="1"/>
    <col min="5" max="5" width="12.6640625" customWidth="1"/>
    <col min="6" max="6" width="8.332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4" t="s">
        <v>115</v>
      </c>
      <c r="E1" s="1"/>
      <c r="F1" s="4" t="s">
        <v>0</v>
      </c>
      <c r="G1" s="1" t="s">
        <v>110</v>
      </c>
      <c r="H1" s="4" t="s">
        <v>114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4</v>
      </c>
      <c r="B2" s="2">
        <v>1.5</v>
      </c>
      <c r="C2">
        <f>IF(AND(LEFT(A2,1)&gt;="A",LEFT(A2,1)&lt;="F"),0,IF(AND(LEFT(A2,1)&gt;="G",LEFT(A2,1)&lt;="M"),1,IF(AND(LEFT(A2,1)&gt;="N",LEFT(A2,1)&lt;="Z"),2)))</f>
        <v>0</v>
      </c>
      <c r="D2" s="3">
        <f>IF(C2=0,B2*$H$2,IF(C2=1,B2*$H$3,IF(C2=2,B2*$H$4)))</f>
        <v>6</v>
      </c>
      <c r="F2" s="3" t="s">
        <v>111</v>
      </c>
      <c r="G2">
        <v>0</v>
      </c>
      <c r="H2">
        <v>4</v>
      </c>
    </row>
    <row r="3" spans="1:24" x14ac:dyDescent="0.25">
      <c r="A3" s="2" t="s">
        <v>5</v>
      </c>
      <c r="B3" s="2">
        <v>2.5</v>
      </c>
      <c r="C3">
        <f>IF(AND(LEFT(A3,1)&gt;="A",LEFT(A3,1)&lt;="F"),0,IF(AND(LEFT(A3,1)&gt;="G",LEFT(A3,1)&lt;="M"),1,IF(AND(LEFT(A3,1)&gt;="N",LEFT(A3,1)&lt;="Z"),2)))</f>
        <v>1</v>
      </c>
      <c r="D3" s="3">
        <f t="shared" ref="D3:D66" si="0">IF(C3=0,B3*$H$2,IF(C3=1,B3*$H$3,IF(C3=2,B3*$H$4)))</f>
        <v>7.5</v>
      </c>
      <c r="F3" t="s">
        <v>112</v>
      </c>
      <c r="G3">
        <v>1</v>
      </c>
      <c r="H3">
        <v>3</v>
      </c>
    </row>
    <row r="4" spans="1:24" x14ac:dyDescent="0.25">
      <c r="A4" s="2" t="s">
        <v>6</v>
      </c>
      <c r="B4" s="2">
        <v>3.5</v>
      </c>
      <c r="C4">
        <f t="shared" ref="C4:C67" si="1">IF(AND(LEFT(A4,1)&gt;="A",LEFT(A4,1)&lt;="F"),0,IF(AND(LEFT(A4,1)&gt;="G",LEFT(A4,1)&lt;="M"),1,IF(AND(LEFT(A4,1)&gt;="N",LEFT(A4,1)&lt;="Z"),2)))</f>
        <v>2</v>
      </c>
      <c r="D4" s="3">
        <f t="shared" si="0"/>
        <v>7</v>
      </c>
      <c r="F4" t="s">
        <v>113</v>
      </c>
      <c r="G4">
        <v>2</v>
      </c>
      <c r="H4">
        <v>2</v>
      </c>
    </row>
    <row r="5" spans="1:24" x14ac:dyDescent="0.25">
      <c r="A5" s="2" t="s">
        <v>7</v>
      </c>
      <c r="B5" s="2">
        <v>4.5</v>
      </c>
      <c r="C5">
        <f t="shared" si="1"/>
        <v>2</v>
      </c>
      <c r="D5" s="3">
        <f t="shared" si="0"/>
        <v>9</v>
      </c>
    </row>
    <row r="6" spans="1:24" thickBot="1" x14ac:dyDescent="0.3">
      <c r="A6" s="2" t="s">
        <v>8</v>
      </c>
      <c r="B6" s="2">
        <v>5.5</v>
      </c>
      <c r="C6">
        <f t="shared" si="1"/>
        <v>2</v>
      </c>
      <c r="D6" s="3">
        <f t="shared" si="0"/>
        <v>11</v>
      </c>
    </row>
    <row r="7" spans="1:24" ht="13.2" x14ac:dyDescent="0.25">
      <c r="A7" s="2" t="s">
        <v>9</v>
      </c>
      <c r="B7" s="2">
        <v>6.5</v>
      </c>
      <c r="C7">
        <f t="shared" si="1"/>
        <v>2</v>
      </c>
      <c r="D7" s="3">
        <f t="shared" si="0"/>
        <v>13</v>
      </c>
      <c r="F7" s="5" t="s">
        <v>116</v>
      </c>
      <c r="G7" s="6"/>
      <c r="H7" s="6"/>
      <c r="I7" s="6"/>
      <c r="J7" s="7"/>
    </row>
    <row r="8" spans="1:24" ht="13.2" x14ac:dyDescent="0.25">
      <c r="A8" s="2" t="s">
        <v>10</v>
      </c>
      <c r="B8" s="2">
        <v>7.5</v>
      </c>
      <c r="C8">
        <f t="shared" si="1"/>
        <v>0</v>
      </c>
      <c r="D8" s="3">
        <f t="shared" si="0"/>
        <v>30</v>
      </c>
      <c r="F8" s="8"/>
      <c r="G8" s="9"/>
      <c r="H8" s="9"/>
      <c r="I8" s="9"/>
      <c r="J8" s="10"/>
    </row>
    <row r="9" spans="1:24" ht="13.2" x14ac:dyDescent="0.25">
      <c r="A9" s="2" t="s">
        <v>11</v>
      </c>
      <c r="B9" s="2">
        <v>8.5</v>
      </c>
      <c r="C9">
        <f t="shared" si="1"/>
        <v>0</v>
      </c>
      <c r="D9" s="3">
        <f t="shared" si="0"/>
        <v>34</v>
      </c>
      <c r="F9" s="8"/>
      <c r="G9" s="9"/>
      <c r="H9" s="9"/>
      <c r="I9" s="9"/>
      <c r="J9" s="10"/>
    </row>
    <row r="10" spans="1:24" ht="13.2" x14ac:dyDescent="0.25">
      <c r="A10" s="2" t="s">
        <v>12</v>
      </c>
      <c r="B10" s="2">
        <v>9.5</v>
      </c>
      <c r="C10">
        <f t="shared" si="1"/>
        <v>0</v>
      </c>
      <c r="D10" s="3">
        <f t="shared" si="0"/>
        <v>38</v>
      </c>
      <c r="F10" s="8"/>
      <c r="G10" s="9"/>
      <c r="H10" s="9"/>
      <c r="I10" s="9"/>
      <c r="J10" s="10"/>
    </row>
    <row r="11" spans="1:24" ht="13.2" x14ac:dyDescent="0.25">
      <c r="A11" s="2" t="s">
        <v>13</v>
      </c>
      <c r="B11" s="2">
        <v>10</v>
      </c>
      <c r="C11">
        <f t="shared" si="1"/>
        <v>1</v>
      </c>
      <c r="D11" s="3">
        <f t="shared" si="0"/>
        <v>30</v>
      </c>
      <c r="F11" s="8"/>
      <c r="G11" s="9"/>
      <c r="H11" s="9"/>
      <c r="I11" s="9"/>
      <c r="J11" s="10"/>
    </row>
    <row r="12" spans="1:24" ht="13.2" x14ac:dyDescent="0.25">
      <c r="A12" s="2" t="s">
        <v>14</v>
      </c>
      <c r="B12" s="2">
        <v>0.5</v>
      </c>
      <c r="C12">
        <f t="shared" si="1"/>
        <v>1</v>
      </c>
      <c r="D12" s="3">
        <f t="shared" si="0"/>
        <v>1.5</v>
      </c>
      <c r="F12" s="8"/>
      <c r="G12" s="9"/>
      <c r="H12" s="9"/>
      <c r="I12" s="9"/>
      <c r="J12" s="10"/>
    </row>
    <row r="13" spans="1:24" ht="13.2" x14ac:dyDescent="0.25">
      <c r="A13" s="2" t="s">
        <v>15</v>
      </c>
      <c r="B13" s="2">
        <v>1</v>
      </c>
      <c r="C13">
        <f t="shared" si="1"/>
        <v>1</v>
      </c>
      <c r="D13" s="3">
        <f t="shared" si="0"/>
        <v>3</v>
      </c>
      <c r="F13" s="8"/>
      <c r="G13" s="9"/>
      <c r="H13" s="9"/>
      <c r="I13" s="9"/>
      <c r="J13" s="10"/>
    </row>
    <row r="14" spans="1:24" ht="13.2" x14ac:dyDescent="0.25">
      <c r="A14" s="2" t="s">
        <v>16</v>
      </c>
      <c r="B14" s="2">
        <v>2</v>
      </c>
      <c r="C14">
        <f t="shared" si="1"/>
        <v>1</v>
      </c>
      <c r="D14" s="3">
        <f t="shared" si="0"/>
        <v>6</v>
      </c>
      <c r="F14" s="8"/>
      <c r="G14" s="9"/>
      <c r="H14" s="9"/>
      <c r="I14" s="9"/>
      <c r="J14" s="10"/>
    </row>
    <row r="15" spans="1:24" ht="13.2" x14ac:dyDescent="0.25">
      <c r="A15" s="2" t="s">
        <v>17</v>
      </c>
      <c r="B15" s="2">
        <v>3</v>
      </c>
      <c r="C15">
        <f t="shared" si="1"/>
        <v>2</v>
      </c>
      <c r="D15" s="3">
        <f t="shared" si="0"/>
        <v>6</v>
      </c>
      <c r="F15" s="8"/>
      <c r="G15" s="9"/>
      <c r="H15" s="9"/>
      <c r="I15" s="9"/>
      <c r="J15" s="10"/>
    </row>
    <row r="16" spans="1:24" ht="13.2" x14ac:dyDescent="0.25">
      <c r="A16" s="2" t="s">
        <v>18</v>
      </c>
      <c r="B16" s="2">
        <v>4</v>
      </c>
      <c r="C16">
        <f t="shared" si="1"/>
        <v>2</v>
      </c>
      <c r="D16" s="3">
        <f t="shared" si="0"/>
        <v>8</v>
      </c>
      <c r="F16" s="8"/>
      <c r="G16" s="9"/>
      <c r="H16" s="9"/>
      <c r="I16" s="9"/>
      <c r="J16" s="10"/>
    </row>
    <row r="17" spans="1:10" ht="13.2" x14ac:dyDescent="0.25">
      <c r="A17" s="2" t="s">
        <v>19</v>
      </c>
      <c r="B17" s="2">
        <v>5</v>
      </c>
      <c r="C17">
        <f t="shared" si="1"/>
        <v>2</v>
      </c>
      <c r="D17" s="3">
        <f t="shared" si="0"/>
        <v>10</v>
      </c>
      <c r="F17" s="8"/>
      <c r="G17" s="9"/>
      <c r="H17" s="9"/>
      <c r="I17" s="9"/>
      <c r="J17" s="10"/>
    </row>
    <row r="18" spans="1:10" ht="13.8" thickBot="1" x14ac:dyDescent="0.3">
      <c r="A18" s="2" t="s">
        <v>20</v>
      </c>
      <c r="B18" s="2">
        <v>6</v>
      </c>
      <c r="C18">
        <f t="shared" si="1"/>
        <v>2</v>
      </c>
      <c r="D18" s="3">
        <f t="shared" si="0"/>
        <v>12</v>
      </c>
      <c r="F18" s="11"/>
      <c r="G18" s="12"/>
      <c r="H18" s="12"/>
      <c r="I18" s="12"/>
      <c r="J18" s="13"/>
    </row>
    <row r="19" spans="1:10" ht="13.2" x14ac:dyDescent="0.25">
      <c r="A19" s="2" t="s">
        <v>21</v>
      </c>
      <c r="B19" s="2">
        <v>7</v>
      </c>
      <c r="C19">
        <f t="shared" si="1"/>
        <v>2</v>
      </c>
      <c r="D19" s="3">
        <f t="shared" si="0"/>
        <v>14</v>
      </c>
    </row>
    <row r="20" spans="1:10" x14ac:dyDescent="0.25">
      <c r="A20" s="2" t="s">
        <v>22</v>
      </c>
      <c r="B20" s="2">
        <v>8</v>
      </c>
      <c r="C20">
        <f t="shared" si="1"/>
        <v>2</v>
      </c>
      <c r="D20" s="3">
        <f t="shared" si="0"/>
        <v>16</v>
      </c>
    </row>
    <row r="21" spans="1:10" x14ac:dyDescent="0.25">
      <c r="A21" s="2" t="s">
        <v>23</v>
      </c>
      <c r="B21" s="2">
        <v>9</v>
      </c>
      <c r="C21">
        <f t="shared" si="1"/>
        <v>0</v>
      </c>
      <c r="D21" s="3">
        <f t="shared" si="0"/>
        <v>36</v>
      </c>
    </row>
    <row r="22" spans="1:10" x14ac:dyDescent="0.25">
      <c r="A22" s="2" t="s">
        <v>24</v>
      </c>
      <c r="B22" s="2">
        <v>10</v>
      </c>
      <c r="C22">
        <f t="shared" si="1"/>
        <v>0</v>
      </c>
      <c r="D22" s="3">
        <f t="shared" si="0"/>
        <v>40</v>
      </c>
    </row>
    <row r="23" spans="1:10" x14ac:dyDescent="0.25">
      <c r="A23" s="2" t="s">
        <v>25</v>
      </c>
      <c r="B23" s="2">
        <v>0.5</v>
      </c>
      <c r="C23">
        <f t="shared" si="1"/>
        <v>0</v>
      </c>
      <c r="D23" s="3">
        <f t="shared" si="0"/>
        <v>2</v>
      </c>
    </row>
    <row r="24" spans="1:10" x14ac:dyDescent="0.25">
      <c r="A24" s="2" t="s">
        <v>26</v>
      </c>
      <c r="B24" s="2">
        <v>1</v>
      </c>
      <c r="C24">
        <f t="shared" si="1"/>
        <v>1</v>
      </c>
      <c r="D24" s="3">
        <f t="shared" si="0"/>
        <v>3</v>
      </c>
    </row>
    <row r="25" spans="1:10" x14ac:dyDescent="0.25">
      <c r="A25" s="2" t="s">
        <v>27</v>
      </c>
      <c r="B25" s="2">
        <v>2</v>
      </c>
      <c r="C25">
        <f t="shared" si="1"/>
        <v>1</v>
      </c>
      <c r="D25" s="3">
        <f t="shared" si="0"/>
        <v>6</v>
      </c>
    </row>
    <row r="26" spans="1:10" x14ac:dyDescent="0.25">
      <c r="A26" s="2" t="s">
        <v>28</v>
      </c>
      <c r="B26" s="2">
        <v>3</v>
      </c>
      <c r="C26">
        <f t="shared" si="1"/>
        <v>1</v>
      </c>
      <c r="D26" s="3">
        <f t="shared" si="0"/>
        <v>9</v>
      </c>
    </row>
    <row r="27" spans="1:10" x14ac:dyDescent="0.25">
      <c r="A27" s="2" t="s">
        <v>29</v>
      </c>
      <c r="B27" s="2">
        <v>4</v>
      </c>
      <c r="C27">
        <f t="shared" si="1"/>
        <v>1</v>
      </c>
      <c r="D27" s="3">
        <f t="shared" si="0"/>
        <v>12</v>
      </c>
    </row>
    <row r="28" spans="1:10" x14ac:dyDescent="0.25">
      <c r="A28" s="2" t="s">
        <v>30</v>
      </c>
      <c r="B28" s="2">
        <v>5</v>
      </c>
      <c r="C28">
        <f t="shared" si="1"/>
        <v>2</v>
      </c>
      <c r="D28" s="3">
        <f t="shared" si="0"/>
        <v>10</v>
      </c>
    </row>
    <row r="29" spans="1:10" x14ac:dyDescent="0.25">
      <c r="A29" s="2" t="s">
        <v>31</v>
      </c>
      <c r="B29" s="2">
        <v>6</v>
      </c>
      <c r="C29">
        <f t="shared" si="1"/>
        <v>2</v>
      </c>
      <c r="D29" s="3">
        <f t="shared" si="0"/>
        <v>12</v>
      </c>
    </row>
    <row r="30" spans="1:10" x14ac:dyDescent="0.25">
      <c r="A30" s="2" t="s">
        <v>32</v>
      </c>
      <c r="B30" s="2">
        <v>7</v>
      </c>
      <c r="C30">
        <f t="shared" si="1"/>
        <v>2</v>
      </c>
      <c r="D30" s="3">
        <f t="shared" si="0"/>
        <v>14</v>
      </c>
    </row>
    <row r="31" spans="1:10" x14ac:dyDescent="0.25">
      <c r="A31" s="2" t="s">
        <v>33</v>
      </c>
      <c r="B31" s="2">
        <v>8</v>
      </c>
      <c r="C31">
        <f t="shared" si="1"/>
        <v>2</v>
      </c>
      <c r="D31" s="3">
        <f t="shared" si="0"/>
        <v>16</v>
      </c>
    </row>
    <row r="32" spans="1:10" x14ac:dyDescent="0.25">
      <c r="A32" s="2" t="s">
        <v>34</v>
      </c>
      <c r="B32" s="2">
        <v>9</v>
      </c>
      <c r="C32">
        <f t="shared" si="1"/>
        <v>2</v>
      </c>
      <c r="D32" s="3">
        <f t="shared" si="0"/>
        <v>18</v>
      </c>
    </row>
    <row r="33" spans="1:4" x14ac:dyDescent="0.25">
      <c r="A33" s="2" t="s">
        <v>35</v>
      </c>
      <c r="B33" s="2">
        <v>10</v>
      </c>
      <c r="C33">
        <f t="shared" si="1"/>
        <v>2</v>
      </c>
      <c r="D33" s="3">
        <f t="shared" si="0"/>
        <v>20</v>
      </c>
    </row>
    <row r="34" spans="1:4" x14ac:dyDescent="0.25">
      <c r="A34" s="2" t="s">
        <v>36</v>
      </c>
      <c r="B34" s="2">
        <v>0.5</v>
      </c>
      <c r="C34">
        <f t="shared" si="1"/>
        <v>0</v>
      </c>
      <c r="D34" s="3">
        <f t="shared" si="0"/>
        <v>2</v>
      </c>
    </row>
    <row r="35" spans="1:4" x14ac:dyDescent="0.25">
      <c r="A35" s="2" t="s">
        <v>37</v>
      </c>
      <c r="B35" s="2">
        <v>1</v>
      </c>
      <c r="C35">
        <f t="shared" si="1"/>
        <v>0</v>
      </c>
      <c r="D35" s="3">
        <f t="shared" si="0"/>
        <v>4</v>
      </c>
    </row>
    <row r="36" spans="1:4" x14ac:dyDescent="0.25">
      <c r="A36" s="2" t="s">
        <v>38</v>
      </c>
      <c r="B36" s="2">
        <v>2</v>
      </c>
      <c r="C36">
        <f t="shared" si="1"/>
        <v>0</v>
      </c>
      <c r="D36" s="3">
        <f t="shared" si="0"/>
        <v>8</v>
      </c>
    </row>
    <row r="37" spans="1:4" x14ac:dyDescent="0.25">
      <c r="A37" s="2" t="s">
        <v>39</v>
      </c>
      <c r="B37" s="2">
        <v>3</v>
      </c>
      <c r="C37">
        <f t="shared" si="1"/>
        <v>1</v>
      </c>
      <c r="D37" s="3">
        <f t="shared" si="0"/>
        <v>9</v>
      </c>
    </row>
    <row r="38" spans="1:4" x14ac:dyDescent="0.25">
      <c r="A38" s="2" t="s">
        <v>40</v>
      </c>
      <c r="B38" s="2">
        <v>4</v>
      </c>
      <c r="C38">
        <f t="shared" si="1"/>
        <v>1</v>
      </c>
      <c r="D38" s="3">
        <f t="shared" si="0"/>
        <v>12</v>
      </c>
    </row>
    <row r="39" spans="1:4" x14ac:dyDescent="0.25">
      <c r="A39" s="2" t="s">
        <v>41</v>
      </c>
      <c r="B39" s="2">
        <v>5</v>
      </c>
      <c r="C39">
        <f t="shared" si="1"/>
        <v>1</v>
      </c>
      <c r="D39" s="3">
        <f t="shared" si="0"/>
        <v>15</v>
      </c>
    </row>
    <row r="40" spans="1:4" x14ac:dyDescent="0.25">
      <c r="A40" s="2" t="s">
        <v>42</v>
      </c>
      <c r="B40" s="2">
        <v>6</v>
      </c>
      <c r="C40">
        <f t="shared" si="1"/>
        <v>1</v>
      </c>
      <c r="D40" s="3">
        <f t="shared" si="0"/>
        <v>18</v>
      </c>
    </row>
    <row r="41" spans="1:4" x14ac:dyDescent="0.25">
      <c r="A41" s="2" t="s">
        <v>43</v>
      </c>
      <c r="B41" s="2">
        <v>7</v>
      </c>
      <c r="C41">
        <f t="shared" si="1"/>
        <v>2</v>
      </c>
      <c r="D41" s="3">
        <f t="shared" si="0"/>
        <v>14</v>
      </c>
    </row>
    <row r="42" spans="1:4" x14ac:dyDescent="0.25">
      <c r="A42" s="2" t="s">
        <v>44</v>
      </c>
      <c r="B42" s="2">
        <v>8</v>
      </c>
      <c r="C42">
        <f t="shared" si="1"/>
        <v>2</v>
      </c>
      <c r="D42" s="3">
        <f t="shared" si="0"/>
        <v>16</v>
      </c>
    </row>
    <row r="43" spans="1:4" x14ac:dyDescent="0.25">
      <c r="A43" s="2" t="s">
        <v>45</v>
      </c>
      <c r="B43" s="2">
        <v>9</v>
      </c>
      <c r="C43">
        <f t="shared" si="1"/>
        <v>2</v>
      </c>
      <c r="D43" s="3">
        <f t="shared" si="0"/>
        <v>18</v>
      </c>
    </row>
    <row r="44" spans="1:4" x14ac:dyDescent="0.25">
      <c r="A44" s="2" t="s">
        <v>7</v>
      </c>
      <c r="B44" s="2">
        <v>10</v>
      </c>
      <c r="C44">
        <f t="shared" si="1"/>
        <v>2</v>
      </c>
      <c r="D44" s="3">
        <f t="shared" si="0"/>
        <v>20</v>
      </c>
    </row>
    <row r="45" spans="1:4" x14ac:dyDescent="0.25">
      <c r="A45" s="2" t="s">
        <v>46</v>
      </c>
      <c r="B45" s="2">
        <v>0.5</v>
      </c>
      <c r="C45">
        <f t="shared" si="1"/>
        <v>2</v>
      </c>
      <c r="D45" s="3">
        <f t="shared" si="0"/>
        <v>1</v>
      </c>
    </row>
    <row r="46" spans="1:4" x14ac:dyDescent="0.25">
      <c r="A46" s="2" t="s">
        <v>47</v>
      </c>
      <c r="B46" s="2">
        <v>1</v>
      </c>
      <c r="C46">
        <f t="shared" si="1"/>
        <v>2</v>
      </c>
      <c r="D46" s="3">
        <f t="shared" si="0"/>
        <v>2</v>
      </c>
    </row>
    <row r="47" spans="1:4" x14ac:dyDescent="0.25">
      <c r="A47" s="2" t="s">
        <v>48</v>
      </c>
      <c r="B47" s="2">
        <v>2</v>
      </c>
      <c r="C47">
        <f t="shared" si="1"/>
        <v>0</v>
      </c>
      <c r="D47" s="3">
        <f t="shared" si="0"/>
        <v>8</v>
      </c>
    </row>
    <row r="48" spans="1:4" x14ac:dyDescent="0.25">
      <c r="A48" s="2" t="s">
        <v>49</v>
      </c>
      <c r="B48" s="2">
        <v>3</v>
      </c>
      <c r="C48">
        <f t="shared" si="1"/>
        <v>0</v>
      </c>
      <c r="D48" s="3">
        <f t="shared" si="0"/>
        <v>12</v>
      </c>
    </row>
    <row r="49" spans="1:4" x14ac:dyDescent="0.25">
      <c r="A49" s="2" t="s">
        <v>50</v>
      </c>
      <c r="B49" s="2">
        <v>4</v>
      </c>
      <c r="C49">
        <f t="shared" si="1"/>
        <v>0</v>
      </c>
      <c r="D49" s="3">
        <f t="shared" si="0"/>
        <v>16</v>
      </c>
    </row>
    <row r="50" spans="1:4" x14ac:dyDescent="0.25">
      <c r="A50" s="2" t="s">
        <v>51</v>
      </c>
      <c r="B50" s="2">
        <v>5</v>
      </c>
      <c r="C50">
        <f t="shared" si="1"/>
        <v>1</v>
      </c>
      <c r="D50" s="3">
        <f t="shared" si="0"/>
        <v>15</v>
      </c>
    </row>
    <row r="51" spans="1:4" x14ac:dyDescent="0.25">
      <c r="A51" s="2" t="s">
        <v>52</v>
      </c>
      <c r="B51" s="2">
        <v>6</v>
      </c>
      <c r="C51">
        <f t="shared" si="1"/>
        <v>1</v>
      </c>
      <c r="D51" s="3">
        <f t="shared" si="0"/>
        <v>18</v>
      </c>
    </row>
    <row r="52" spans="1:4" x14ac:dyDescent="0.25">
      <c r="A52" s="2" t="s">
        <v>53</v>
      </c>
      <c r="B52" s="2">
        <v>7</v>
      </c>
      <c r="C52">
        <f t="shared" si="1"/>
        <v>1</v>
      </c>
      <c r="D52" s="3">
        <f t="shared" si="0"/>
        <v>21</v>
      </c>
    </row>
    <row r="53" spans="1:4" x14ac:dyDescent="0.25">
      <c r="A53" s="2" t="s">
        <v>54</v>
      </c>
      <c r="B53" s="2">
        <v>8</v>
      </c>
      <c r="C53">
        <f t="shared" si="1"/>
        <v>1</v>
      </c>
      <c r="D53" s="3">
        <f t="shared" si="0"/>
        <v>24</v>
      </c>
    </row>
    <row r="54" spans="1:4" x14ac:dyDescent="0.25">
      <c r="A54" s="2" t="s">
        <v>55</v>
      </c>
      <c r="B54" s="2">
        <v>9</v>
      </c>
      <c r="C54">
        <f t="shared" si="1"/>
        <v>2</v>
      </c>
      <c r="D54" s="3">
        <f t="shared" si="0"/>
        <v>18</v>
      </c>
    </row>
    <row r="55" spans="1:4" x14ac:dyDescent="0.25">
      <c r="A55" s="2" t="s">
        <v>56</v>
      </c>
      <c r="B55" s="2">
        <v>10</v>
      </c>
      <c r="C55">
        <f t="shared" si="1"/>
        <v>2</v>
      </c>
      <c r="D55" s="3">
        <f t="shared" si="0"/>
        <v>20</v>
      </c>
    </row>
    <row r="56" spans="1:4" x14ac:dyDescent="0.25">
      <c r="A56" s="2" t="s">
        <v>57</v>
      </c>
      <c r="B56" s="2">
        <v>0.5</v>
      </c>
      <c r="C56">
        <f t="shared" si="1"/>
        <v>2</v>
      </c>
      <c r="D56" s="3">
        <f t="shared" si="0"/>
        <v>1</v>
      </c>
    </row>
    <row r="57" spans="1:4" x14ac:dyDescent="0.25">
      <c r="A57" s="2" t="s">
        <v>58</v>
      </c>
      <c r="B57" s="2">
        <v>1</v>
      </c>
      <c r="C57">
        <f t="shared" si="1"/>
        <v>2</v>
      </c>
      <c r="D57" s="3">
        <f t="shared" si="0"/>
        <v>2</v>
      </c>
    </row>
    <row r="58" spans="1:4" x14ac:dyDescent="0.25">
      <c r="A58" s="2" t="s">
        <v>59</v>
      </c>
      <c r="B58" s="2">
        <v>2</v>
      </c>
      <c r="C58">
        <f t="shared" si="1"/>
        <v>2</v>
      </c>
      <c r="D58" s="3">
        <f t="shared" si="0"/>
        <v>4</v>
      </c>
    </row>
    <row r="59" spans="1:4" x14ac:dyDescent="0.25">
      <c r="A59" s="2" t="s">
        <v>60</v>
      </c>
      <c r="B59" s="2">
        <v>3</v>
      </c>
      <c r="C59">
        <f t="shared" si="1"/>
        <v>2</v>
      </c>
      <c r="D59" s="3">
        <f t="shared" si="0"/>
        <v>6</v>
      </c>
    </row>
    <row r="60" spans="1:4" x14ac:dyDescent="0.25">
      <c r="A60" s="2" t="s">
        <v>61</v>
      </c>
      <c r="B60" s="2">
        <v>4</v>
      </c>
      <c r="C60">
        <f t="shared" si="1"/>
        <v>0</v>
      </c>
      <c r="D60" s="3">
        <f t="shared" si="0"/>
        <v>16</v>
      </c>
    </row>
    <row r="61" spans="1:4" x14ac:dyDescent="0.25">
      <c r="A61" s="2" t="s">
        <v>62</v>
      </c>
      <c r="B61" s="2">
        <v>5</v>
      </c>
      <c r="C61">
        <f t="shared" si="1"/>
        <v>0</v>
      </c>
      <c r="D61" s="3">
        <f t="shared" si="0"/>
        <v>20</v>
      </c>
    </row>
    <row r="62" spans="1:4" x14ac:dyDescent="0.25">
      <c r="A62" s="2" t="s">
        <v>63</v>
      </c>
      <c r="B62" s="2">
        <v>6</v>
      </c>
      <c r="C62">
        <f t="shared" si="1"/>
        <v>0</v>
      </c>
      <c r="D62" s="3">
        <f t="shared" si="0"/>
        <v>24</v>
      </c>
    </row>
    <row r="63" spans="1:4" x14ac:dyDescent="0.25">
      <c r="A63" s="2" t="s">
        <v>64</v>
      </c>
      <c r="B63" s="2">
        <v>7</v>
      </c>
      <c r="C63">
        <f t="shared" si="1"/>
        <v>1</v>
      </c>
      <c r="D63" s="3">
        <f t="shared" si="0"/>
        <v>21</v>
      </c>
    </row>
    <row r="64" spans="1:4" x14ac:dyDescent="0.25">
      <c r="A64" s="2" t="s">
        <v>65</v>
      </c>
      <c r="B64" s="2">
        <v>8</v>
      </c>
      <c r="C64">
        <f t="shared" si="1"/>
        <v>1</v>
      </c>
      <c r="D64" s="3">
        <f t="shared" si="0"/>
        <v>24</v>
      </c>
    </row>
    <row r="65" spans="1:4" x14ac:dyDescent="0.25">
      <c r="A65" s="2" t="s">
        <v>66</v>
      </c>
      <c r="B65" s="2">
        <v>9</v>
      </c>
      <c r="C65">
        <f t="shared" si="1"/>
        <v>1</v>
      </c>
      <c r="D65" s="3">
        <f t="shared" si="0"/>
        <v>27</v>
      </c>
    </row>
    <row r="66" spans="1:4" x14ac:dyDescent="0.25">
      <c r="A66" s="2" t="s">
        <v>67</v>
      </c>
      <c r="B66" s="2">
        <v>10</v>
      </c>
      <c r="C66">
        <f t="shared" si="1"/>
        <v>1</v>
      </c>
      <c r="D66" s="3">
        <f t="shared" si="0"/>
        <v>30</v>
      </c>
    </row>
    <row r="67" spans="1:4" x14ac:dyDescent="0.25">
      <c r="A67" s="2" t="s">
        <v>68</v>
      </c>
      <c r="B67" s="2">
        <v>0.5</v>
      </c>
      <c r="C67">
        <f t="shared" si="1"/>
        <v>2</v>
      </c>
      <c r="D67" s="3">
        <f t="shared" ref="D67:D101" si="2">IF(C67=0,B67*$H$2,IF(C67=1,B67*$H$3,IF(C67=2,B67*$H$4)))</f>
        <v>1</v>
      </c>
    </row>
    <row r="68" spans="1:4" x14ac:dyDescent="0.25">
      <c r="A68" s="2" t="s">
        <v>69</v>
      </c>
      <c r="B68" s="2">
        <v>1</v>
      </c>
      <c r="C68">
        <f t="shared" ref="C68:C101" si="3">IF(AND(LEFT(A68,1)&gt;="A",LEFT(A68,1)&lt;="F"),0,IF(AND(LEFT(A68,1)&gt;="G",LEFT(A68,1)&lt;="M"),1,IF(AND(LEFT(A68,1)&gt;="N",LEFT(A68,1)&lt;="Z"),2)))</f>
        <v>2</v>
      </c>
      <c r="D68" s="3">
        <f t="shared" si="2"/>
        <v>2</v>
      </c>
    </row>
    <row r="69" spans="1:4" x14ac:dyDescent="0.25">
      <c r="A69" s="2" t="s">
        <v>70</v>
      </c>
      <c r="B69" s="2">
        <v>2</v>
      </c>
      <c r="C69">
        <f t="shared" si="3"/>
        <v>2</v>
      </c>
      <c r="D69" s="3">
        <f t="shared" si="2"/>
        <v>4</v>
      </c>
    </row>
    <row r="70" spans="1:4" x14ac:dyDescent="0.25">
      <c r="A70" s="2" t="s">
        <v>71</v>
      </c>
      <c r="B70" s="2">
        <v>3</v>
      </c>
      <c r="C70">
        <f t="shared" si="3"/>
        <v>2</v>
      </c>
      <c r="D70" s="3">
        <f t="shared" si="2"/>
        <v>6</v>
      </c>
    </row>
    <row r="71" spans="1:4" x14ac:dyDescent="0.25">
      <c r="A71" s="2" t="s">
        <v>72</v>
      </c>
      <c r="B71" s="2">
        <v>4</v>
      </c>
      <c r="C71">
        <f t="shared" si="3"/>
        <v>2</v>
      </c>
      <c r="D71" s="3">
        <f t="shared" si="2"/>
        <v>8</v>
      </c>
    </row>
    <row r="72" spans="1:4" x14ac:dyDescent="0.25">
      <c r="A72" s="2" t="s">
        <v>73</v>
      </c>
      <c r="B72" s="2">
        <v>5</v>
      </c>
      <c r="C72">
        <f t="shared" si="3"/>
        <v>2</v>
      </c>
      <c r="D72" s="3">
        <f t="shared" si="2"/>
        <v>10</v>
      </c>
    </row>
    <row r="73" spans="1:4" x14ac:dyDescent="0.25">
      <c r="A73" s="2" t="s">
        <v>74</v>
      </c>
      <c r="B73" s="2">
        <v>6</v>
      </c>
      <c r="C73">
        <f t="shared" si="3"/>
        <v>0</v>
      </c>
      <c r="D73" s="3">
        <f t="shared" si="2"/>
        <v>24</v>
      </c>
    </row>
    <row r="74" spans="1:4" x14ac:dyDescent="0.25">
      <c r="A74" s="2" t="s">
        <v>75</v>
      </c>
      <c r="B74" s="2">
        <v>7</v>
      </c>
      <c r="C74">
        <f t="shared" si="3"/>
        <v>0</v>
      </c>
      <c r="D74" s="3">
        <f t="shared" si="2"/>
        <v>28</v>
      </c>
    </row>
    <row r="75" spans="1:4" x14ac:dyDescent="0.25">
      <c r="A75" s="2" t="s">
        <v>76</v>
      </c>
      <c r="B75" s="2">
        <v>8</v>
      </c>
      <c r="C75">
        <f t="shared" si="3"/>
        <v>0</v>
      </c>
      <c r="D75" s="3">
        <f t="shared" si="2"/>
        <v>32</v>
      </c>
    </row>
    <row r="76" spans="1:4" x14ac:dyDescent="0.25">
      <c r="A76" s="2" t="s">
        <v>77</v>
      </c>
      <c r="B76" s="2">
        <v>9</v>
      </c>
      <c r="C76">
        <f t="shared" si="3"/>
        <v>1</v>
      </c>
      <c r="D76" s="3">
        <f t="shared" si="2"/>
        <v>27</v>
      </c>
    </row>
    <row r="77" spans="1:4" x14ac:dyDescent="0.25">
      <c r="A77" s="2" t="s">
        <v>78</v>
      </c>
      <c r="B77" s="2">
        <v>10</v>
      </c>
      <c r="C77">
        <f t="shared" si="3"/>
        <v>1</v>
      </c>
      <c r="D77" s="3">
        <f t="shared" si="2"/>
        <v>30</v>
      </c>
    </row>
    <row r="78" spans="1:4" x14ac:dyDescent="0.25">
      <c r="A78" s="2" t="s">
        <v>79</v>
      </c>
      <c r="B78" s="2">
        <v>0.5</v>
      </c>
      <c r="C78">
        <f t="shared" si="3"/>
        <v>1</v>
      </c>
      <c r="D78" s="3">
        <f t="shared" si="2"/>
        <v>1.5</v>
      </c>
    </row>
    <row r="79" spans="1:4" x14ac:dyDescent="0.25">
      <c r="A79" s="2" t="s">
        <v>80</v>
      </c>
      <c r="B79" s="2">
        <v>1</v>
      </c>
      <c r="C79">
        <f t="shared" si="3"/>
        <v>1</v>
      </c>
      <c r="D79" s="3">
        <f t="shared" si="2"/>
        <v>3</v>
      </c>
    </row>
    <row r="80" spans="1:4" x14ac:dyDescent="0.25">
      <c r="A80" s="2" t="s">
        <v>81</v>
      </c>
      <c r="B80" s="2">
        <v>2</v>
      </c>
      <c r="C80">
        <f t="shared" si="3"/>
        <v>2</v>
      </c>
      <c r="D80" s="3">
        <f t="shared" si="2"/>
        <v>4</v>
      </c>
    </row>
    <row r="81" spans="1:4" x14ac:dyDescent="0.25">
      <c r="A81" s="2" t="s">
        <v>82</v>
      </c>
      <c r="B81" s="2">
        <v>3</v>
      </c>
      <c r="C81">
        <f t="shared" si="3"/>
        <v>2</v>
      </c>
      <c r="D81" s="3">
        <f t="shared" si="2"/>
        <v>6</v>
      </c>
    </row>
    <row r="82" spans="1:4" x14ac:dyDescent="0.25">
      <c r="A82" s="2" t="s">
        <v>83</v>
      </c>
      <c r="B82" s="2">
        <v>4</v>
      </c>
      <c r="C82">
        <f t="shared" si="3"/>
        <v>2</v>
      </c>
      <c r="D82" s="3">
        <f t="shared" si="2"/>
        <v>8</v>
      </c>
    </row>
    <row r="83" spans="1:4" x14ac:dyDescent="0.25">
      <c r="A83" s="2" t="s">
        <v>84</v>
      </c>
      <c r="B83" s="2">
        <v>5</v>
      </c>
      <c r="C83">
        <f t="shared" si="3"/>
        <v>2</v>
      </c>
      <c r="D83" s="3">
        <f t="shared" si="2"/>
        <v>10</v>
      </c>
    </row>
    <row r="84" spans="1:4" x14ac:dyDescent="0.25">
      <c r="A84" s="2" t="s">
        <v>85</v>
      </c>
      <c r="B84" s="2">
        <v>6</v>
      </c>
      <c r="C84">
        <f t="shared" si="3"/>
        <v>2</v>
      </c>
      <c r="D84" s="3">
        <f t="shared" si="2"/>
        <v>12</v>
      </c>
    </row>
    <row r="85" spans="1:4" x14ac:dyDescent="0.25">
      <c r="A85" s="2" t="s">
        <v>86</v>
      </c>
      <c r="B85" s="2">
        <v>7</v>
      </c>
      <c r="C85">
        <f t="shared" si="3"/>
        <v>2</v>
      </c>
      <c r="D85" s="3">
        <f t="shared" si="2"/>
        <v>14</v>
      </c>
    </row>
    <row r="86" spans="1:4" x14ac:dyDescent="0.25">
      <c r="A86" s="2" t="s">
        <v>87</v>
      </c>
      <c r="B86" s="2">
        <v>8</v>
      </c>
      <c r="C86">
        <f t="shared" si="3"/>
        <v>0</v>
      </c>
      <c r="D86" s="3">
        <f t="shared" si="2"/>
        <v>32</v>
      </c>
    </row>
    <row r="87" spans="1:4" x14ac:dyDescent="0.25">
      <c r="A87" s="2" t="s">
        <v>88</v>
      </c>
      <c r="B87" s="2">
        <v>9</v>
      </c>
      <c r="C87">
        <f t="shared" si="3"/>
        <v>0</v>
      </c>
      <c r="D87" s="3">
        <f t="shared" si="2"/>
        <v>36</v>
      </c>
    </row>
    <row r="88" spans="1:4" x14ac:dyDescent="0.25">
      <c r="A88" s="2" t="s">
        <v>89</v>
      </c>
      <c r="B88" s="2">
        <v>10</v>
      </c>
      <c r="C88">
        <f t="shared" si="3"/>
        <v>0</v>
      </c>
      <c r="D88" s="3">
        <f t="shared" si="2"/>
        <v>40</v>
      </c>
    </row>
    <row r="89" spans="1:4" x14ac:dyDescent="0.25">
      <c r="A89" s="2" t="s">
        <v>90</v>
      </c>
      <c r="B89" s="2">
        <v>0.5</v>
      </c>
      <c r="C89">
        <f t="shared" si="3"/>
        <v>1</v>
      </c>
      <c r="D89" s="3">
        <f t="shared" si="2"/>
        <v>1.5</v>
      </c>
    </row>
    <row r="90" spans="1:4" x14ac:dyDescent="0.25">
      <c r="A90" s="2" t="s">
        <v>91</v>
      </c>
      <c r="B90" s="2">
        <v>1</v>
      </c>
      <c r="C90">
        <f t="shared" si="3"/>
        <v>1</v>
      </c>
      <c r="D90" s="3">
        <f t="shared" si="2"/>
        <v>3</v>
      </c>
    </row>
    <row r="91" spans="1:4" x14ac:dyDescent="0.25">
      <c r="A91" s="2" t="s">
        <v>92</v>
      </c>
      <c r="B91" s="2">
        <v>2</v>
      </c>
      <c r="C91">
        <f t="shared" si="3"/>
        <v>1</v>
      </c>
      <c r="D91" s="3">
        <f t="shared" si="2"/>
        <v>6</v>
      </c>
    </row>
    <row r="92" spans="1:4" x14ac:dyDescent="0.25">
      <c r="A92" s="2" t="s">
        <v>93</v>
      </c>
      <c r="B92" s="2">
        <v>3</v>
      </c>
      <c r="C92">
        <f t="shared" si="3"/>
        <v>1</v>
      </c>
      <c r="D92" s="3">
        <f t="shared" si="2"/>
        <v>9</v>
      </c>
    </row>
    <row r="93" spans="1:4" x14ac:dyDescent="0.25">
      <c r="A93" s="2" t="s">
        <v>94</v>
      </c>
      <c r="B93" s="2">
        <v>4</v>
      </c>
      <c r="C93">
        <f t="shared" si="3"/>
        <v>2</v>
      </c>
      <c r="D93" s="3">
        <f t="shared" si="2"/>
        <v>8</v>
      </c>
    </row>
    <row r="94" spans="1:4" x14ac:dyDescent="0.25">
      <c r="A94" s="2" t="s">
        <v>95</v>
      </c>
      <c r="B94" s="2">
        <v>5</v>
      </c>
      <c r="C94">
        <f t="shared" si="3"/>
        <v>2</v>
      </c>
      <c r="D94" s="3">
        <f t="shared" si="2"/>
        <v>10</v>
      </c>
    </row>
    <row r="95" spans="1:4" x14ac:dyDescent="0.25">
      <c r="A95" s="2" t="s">
        <v>96</v>
      </c>
      <c r="B95" s="2">
        <v>6</v>
      </c>
      <c r="C95">
        <f t="shared" si="3"/>
        <v>2</v>
      </c>
      <c r="D95" s="3">
        <f t="shared" si="2"/>
        <v>12</v>
      </c>
    </row>
    <row r="96" spans="1:4" x14ac:dyDescent="0.25">
      <c r="A96" s="2" t="s">
        <v>97</v>
      </c>
      <c r="B96" s="2">
        <v>7</v>
      </c>
      <c r="C96">
        <f t="shared" si="3"/>
        <v>2</v>
      </c>
      <c r="D96" s="3">
        <f t="shared" si="2"/>
        <v>14</v>
      </c>
    </row>
    <row r="97" spans="1:4" x14ac:dyDescent="0.25">
      <c r="A97" s="2" t="s">
        <v>98</v>
      </c>
      <c r="B97" s="2">
        <v>8</v>
      </c>
      <c r="C97">
        <f t="shared" si="3"/>
        <v>2</v>
      </c>
      <c r="D97" s="3">
        <f t="shared" si="2"/>
        <v>16</v>
      </c>
    </row>
    <row r="98" spans="1:4" x14ac:dyDescent="0.25">
      <c r="A98" s="2" t="s">
        <v>99</v>
      </c>
      <c r="B98" s="2">
        <v>9</v>
      </c>
      <c r="C98">
        <f t="shared" si="3"/>
        <v>2</v>
      </c>
      <c r="D98" s="3">
        <f t="shared" si="2"/>
        <v>18</v>
      </c>
    </row>
    <row r="99" spans="1:4" x14ac:dyDescent="0.25">
      <c r="A99" s="2" t="s">
        <v>100</v>
      </c>
      <c r="B99" s="2">
        <v>10</v>
      </c>
      <c r="C99">
        <f t="shared" si="3"/>
        <v>0</v>
      </c>
      <c r="D99" s="3">
        <f t="shared" si="2"/>
        <v>40</v>
      </c>
    </row>
    <row r="100" spans="1:4" x14ac:dyDescent="0.25">
      <c r="A100" s="2" t="s">
        <v>101</v>
      </c>
      <c r="B100" s="2">
        <v>0.5</v>
      </c>
      <c r="C100">
        <f t="shared" si="3"/>
        <v>0</v>
      </c>
      <c r="D100" s="3">
        <f t="shared" si="2"/>
        <v>2</v>
      </c>
    </row>
    <row r="101" spans="1:4" x14ac:dyDescent="0.25">
      <c r="A101" s="2" t="s">
        <v>102</v>
      </c>
      <c r="B101" s="2">
        <v>1</v>
      </c>
      <c r="C101">
        <f t="shared" si="3"/>
        <v>0</v>
      </c>
      <c r="D101" s="3">
        <f t="shared" si="2"/>
        <v>4</v>
      </c>
    </row>
  </sheetData>
  <mergeCells count="1">
    <mergeCell ref="F7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7"/>
  <sheetViews>
    <sheetView tabSelected="1" topLeftCell="B1" zoomScale="123" workbookViewId="0">
      <selection activeCell="I8" sqref="I8"/>
    </sheetView>
  </sheetViews>
  <sheetFormatPr defaultColWidth="12.6640625" defaultRowHeight="15.75" customHeight="1" x14ac:dyDescent="0.25"/>
  <cols>
    <col min="2" max="2" width="6.6640625" bestFit="1" customWidth="1"/>
    <col min="3" max="3" width="8.5546875" bestFit="1" customWidth="1"/>
    <col min="4" max="4" width="8.5546875" customWidth="1"/>
    <col min="5" max="5" width="12.88671875" bestFit="1" customWidth="1"/>
    <col min="6" max="6" width="13.77734375" bestFit="1" customWidth="1"/>
    <col min="7" max="7" width="16.109375" customWidth="1"/>
    <col min="8" max="8" width="37.77734375" bestFit="1" customWidth="1"/>
  </cols>
  <sheetData>
    <row r="1" spans="1:27" ht="13.8" x14ac:dyDescent="0.25">
      <c r="A1" s="1" t="s">
        <v>103</v>
      </c>
      <c r="B1" s="1" t="s">
        <v>104</v>
      </c>
      <c r="C1" s="1" t="s">
        <v>3</v>
      </c>
      <c r="D1" s="1"/>
      <c r="E1" s="4" t="s">
        <v>119</v>
      </c>
      <c r="F1" s="4" t="s">
        <v>120</v>
      </c>
      <c r="G1" s="4" t="s">
        <v>121</v>
      </c>
      <c r="H1" s="4" t="s">
        <v>123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2" t="s">
        <v>105</v>
      </c>
      <c r="B2" s="2">
        <v>55</v>
      </c>
      <c r="E2" s="15" t="s">
        <v>105</v>
      </c>
      <c r="F2">
        <f>COUNTIF(A2:A47,E2)</f>
        <v>11</v>
      </c>
      <c r="G2">
        <f>SUMIF(A2:A47,A2,B2:B47)</f>
        <v>525</v>
      </c>
      <c r="H2">
        <f>SUMIFS($C$2:$C$47,$A$2:$A$47,E2,$B$2:$B$47,"&gt;=80")</f>
        <v>0</v>
      </c>
    </row>
    <row r="3" spans="1:27" ht="13.2" x14ac:dyDescent="0.25">
      <c r="A3" s="2" t="s">
        <v>106</v>
      </c>
      <c r="B3" s="2">
        <v>70</v>
      </c>
      <c r="C3" s="2">
        <v>80</v>
      </c>
      <c r="D3" s="2"/>
      <c r="E3" s="15" t="s">
        <v>106</v>
      </c>
      <c r="F3">
        <f t="shared" ref="F3:F6" si="0">COUNTIF(A3:A48,E3)</f>
        <v>14</v>
      </c>
      <c r="G3">
        <f t="shared" ref="G3:G6" si="1">SUMIF(A3:A48,A3,B3:B48)</f>
        <v>755</v>
      </c>
      <c r="H3">
        <f>SUMIFS($C$2:$C$47,$A$2:$A$47,E3,$B$2:$B$47,"&gt;=80")</f>
        <v>200</v>
      </c>
    </row>
    <row r="4" spans="1:27" ht="13.2" x14ac:dyDescent="0.25">
      <c r="A4" s="2" t="s">
        <v>107</v>
      </c>
      <c r="B4" s="2">
        <v>40</v>
      </c>
      <c r="C4" s="2">
        <v>60</v>
      </c>
      <c r="D4" s="2"/>
      <c r="E4" s="15" t="s">
        <v>107</v>
      </c>
      <c r="F4">
        <f t="shared" si="0"/>
        <v>11</v>
      </c>
      <c r="G4">
        <f t="shared" si="1"/>
        <v>555</v>
      </c>
      <c r="H4">
        <f t="shared" ref="H4:H6" si="2">SUMIFS($C$2:$C$47,$A$2:$A$47,E4,$B$2:$B$47,"&gt;=80")</f>
        <v>0</v>
      </c>
    </row>
    <row r="5" spans="1:27" ht="13.2" x14ac:dyDescent="0.25">
      <c r="A5" s="2" t="s">
        <v>105</v>
      </c>
      <c r="B5" s="2">
        <v>20</v>
      </c>
      <c r="C5" s="2">
        <v>100</v>
      </c>
      <c r="D5" s="2"/>
      <c r="E5" s="15" t="s">
        <v>108</v>
      </c>
      <c r="F5">
        <f t="shared" si="0"/>
        <v>7</v>
      </c>
      <c r="G5">
        <f t="shared" si="1"/>
        <v>470</v>
      </c>
      <c r="H5">
        <f>SUMIFS($C$2:$C$47,$A$2:$A$47,E5,$B$2:$B$47,"&gt;=80")</f>
        <v>30</v>
      </c>
    </row>
    <row r="6" spans="1:27" ht="13.2" x14ac:dyDescent="0.25">
      <c r="A6" s="2" t="s">
        <v>108</v>
      </c>
      <c r="B6" s="2">
        <v>90</v>
      </c>
      <c r="C6" s="2">
        <v>30</v>
      </c>
      <c r="D6" s="2"/>
      <c r="E6" s="15" t="s">
        <v>109</v>
      </c>
      <c r="F6">
        <f t="shared" si="0"/>
        <v>3</v>
      </c>
      <c r="G6">
        <f t="shared" si="1"/>
        <v>380</v>
      </c>
      <c r="H6">
        <f t="shared" si="2"/>
        <v>0</v>
      </c>
    </row>
    <row r="7" spans="1:27" ht="13.2" x14ac:dyDescent="0.25">
      <c r="A7" s="2" t="s">
        <v>106</v>
      </c>
      <c r="B7" s="2">
        <v>50</v>
      </c>
      <c r="C7" s="2">
        <v>40</v>
      </c>
      <c r="D7" s="2"/>
    </row>
    <row r="8" spans="1:27" ht="13.2" x14ac:dyDescent="0.25">
      <c r="A8" s="2" t="s">
        <v>107</v>
      </c>
      <c r="B8" s="2">
        <v>60</v>
      </c>
      <c r="C8" s="2">
        <v>55</v>
      </c>
      <c r="D8" s="2"/>
    </row>
    <row r="9" spans="1:27" ht="13.8" thickBot="1" x14ac:dyDescent="0.3">
      <c r="A9" s="2" t="s">
        <v>105</v>
      </c>
      <c r="B9" s="2">
        <v>45</v>
      </c>
    </row>
    <row r="10" spans="1:27" ht="13.2" customHeight="1" x14ac:dyDescent="0.25">
      <c r="A10" s="2" t="s">
        <v>106</v>
      </c>
      <c r="B10" s="2">
        <v>25</v>
      </c>
      <c r="C10" s="2">
        <v>85</v>
      </c>
      <c r="D10" s="2"/>
      <c r="E10" s="19" t="s">
        <v>118</v>
      </c>
      <c r="F10" s="20"/>
      <c r="G10" s="20"/>
      <c r="H10" s="21"/>
      <c r="I10" s="16"/>
      <c r="J10" s="16"/>
      <c r="K10" s="14"/>
    </row>
    <row r="11" spans="1:27" ht="13.2" x14ac:dyDescent="0.25">
      <c r="A11" s="2" t="s">
        <v>108</v>
      </c>
      <c r="B11" s="2">
        <v>35</v>
      </c>
      <c r="C11" s="2">
        <v>50</v>
      </c>
      <c r="D11" s="2"/>
      <c r="E11" s="22"/>
      <c r="F11" s="23"/>
      <c r="G11" s="23"/>
      <c r="H11" s="24"/>
      <c r="I11" s="16"/>
      <c r="J11" s="16"/>
      <c r="K11" s="14"/>
    </row>
    <row r="12" spans="1:27" ht="13.2" x14ac:dyDescent="0.25">
      <c r="A12" s="2" t="s">
        <v>109</v>
      </c>
      <c r="B12" s="2">
        <v>60</v>
      </c>
      <c r="C12" s="2">
        <v>95</v>
      </c>
      <c r="D12" s="2"/>
      <c r="E12" s="22"/>
      <c r="F12" s="23"/>
      <c r="G12" s="23"/>
      <c r="H12" s="24"/>
      <c r="I12" s="16"/>
      <c r="J12" s="16"/>
      <c r="K12" s="14"/>
    </row>
    <row r="13" spans="1:27" ht="13.8" thickBot="1" x14ac:dyDescent="0.3">
      <c r="A13" s="2" t="s">
        <v>107</v>
      </c>
      <c r="B13" s="2">
        <v>80</v>
      </c>
      <c r="E13" s="25"/>
      <c r="F13" s="26"/>
      <c r="G13" s="26"/>
      <c r="H13" s="27"/>
      <c r="I13" s="16"/>
      <c r="J13" s="16"/>
      <c r="K13" s="14"/>
    </row>
    <row r="14" spans="1:27" ht="13.8" thickBot="1" x14ac:dyDescent="0.3">
      <c r="A14" s="2" t="s">
        <v>106</v>
      </c>
      <c r="B14" s="2">
        <v>40</v>
      </c>
      <c r="C14" s="2">
        <v>45</v>
      </c>
      <c r="D14" s="2"/>
      <c r="G14" s="17"/>
      <c r="H14" s="17"/>
      <c r="I14" s="17"/>
      <c r="J14" s="17"/>
      <c r="K14" s="14"/>
    </row>
    <row r="15" spans="1:27" ht="13.2" customHeight="1" x14ac:dyDescent="0.25">
      <c r="A15" s="2" t="s">
        <v>105</v>
      </c>
      <c r="B15" s="2">
        <v>65</v>
      </c>
      <c r="C15" s="2">
        <v>65</v>
      </c>
      <c r="D15" s="2"/>
      <c r="E15" s="19" t="s">
        <v>117</v>
      </c>
      <c r="F15" s="20"/>
      <c r="G15" s="20"/>
      <c r="H15" s="21"/>
      <c r="I15" s="16"/>
      <c r="J15" s="16"/>
      <c r="K15" s="14"/>
    </row>
    <row r="16" spans="1:27" ht="13.2" x14ac:dyDescent="0.25">
      <c r="A16" s="2" t="s">
        <v>107</v>
      </c>
      <c r="B16" s="2">
        <v>55</v>
      </c>
      <c r="C16" s="2">
        <v>30</v>
      </c>
      <c r="D16" s="2"/>
      <c r="E16" s="22"/>
      <c r="F16" s="23"/>
      <c r="G16" s="23"/>
      <c r="H16" s="24"/>
      <c r="I16" s="16"/>
      <c r="J16" s="16"/>
      <c r="K16" s="14"/>
    </row>
    <row r="17" spans="1:11" ht="13.2" x14ac:dyDescent="0.25">
      <c r="A17" s="2" t="s">
        <v>108</v>
      </c>
      <c r="B17" s="2">
        <v>70</v>
      </c>
      <c r="E17" s="22"/>
      <c r="F17" s="23"/>
      <c r="G17" s="23"/>
      <c r="H17" s="24"/>
      <c r="I17" s="16"/>
      <c r="J17" s="16"/>
      <c r="K17" s="14"/>
    </row>
    <row r="18" spans="1:11" ht="13.8" thickBot="1" x14ac:dyDescent="0.3">
      <c r="A18" s="2" t="s">
        <v>106</v>
      </c>
      <c r="B18" s="2">
        <v>45</v>
      </c>
      <c r="C18" s="2">
        <v>80</v>
      </c>
      <c r="D18" s="2"/>
      <c r="E18" s="25"/>
      <c r="F18" s="26"/>
      <c r="G18" s="26"/>
      <c r="H18" s="27"/>
      <c r="I18" s="16"/>
      <c r="J18" s="16"/>
      <c r="K18" s="14"/>
    </row>
    <row r="19" spans="1:11" ht="13.8" thickBot="1" x14ac:dyDescent="0.3">
      <c r="A19" s="2" t="s">
        <v>105</v>
      </c>
      <c r="B19" s="2">
        <v>25</v>
      </c>
      <c r="C19" s="2">
        <v>60</v>
      </c>
      <c r="D19" s="2"/>
      <c r="G19" s="18"/>
      <c r="H19" s="18"/>
      <c r="I19" s="18"/>
      <c r="J19" s="18"/>
    </row>
    <row r="20" spans="1:11" ht="13.2" customHeight="1" x14ac:dyDescent="0.25">
      <c r="A20" s="2" t="s">
        <v>106</v>
      </c>
      <c r="B20" s="2">
        <v>35</v>
      </c>
      <c r="E20" s="19" t="s">
        <v>122</v>
      </c>
      <c r="F20" s="20"/>
      <c r="G20" s="20"/>
      <c r="H20" s="21"/>
      <c r="I20" s="16"/>
      <c r="J20" s="16"/>
    </row>
    <row r="21" spans="1:11" ht="13.2" x14ac:dyDescent="0.25">
      <c r="A21" s="2" t="s">
        <v>107</v>
      </c>
      <c r="B21" s="2">
        <v>60</v>
      </c>
      <c r="C21" s="2">
        <v>30</v>
      </c>
      <c r="D21" s="2"/>
      <c r="E21" s="22"/>
      <c r="F21" s="23"/>
      <c r="G21" s="23"/>
      <c r="H21" s="24"/>
      <c r="I21" s="16"/>
      <c r="J21" s="16"/>
    </row>
    <row r="22" spans="1:11" ht="13.2" x14ac:dyDescent="0.25">
      <c r="A22" s="2" t="s">
        <v>105</v>
      </c>
      <c r="B22" s="2">
        <v>70</v>
      </c>
      <c r="C22" s="2">
        <v>40</v>
      </c>
      <c r="D22" s="2"/>
      <c r="E22" s="22"/>
      <c r="F22" s="23"/>
      <c r="G22" s="23"/>
      <c r="H22" s="24"/>
      <c r="I22" s="16"/>
      <c r="J22" s="16"/>
    </row>
    <row r="23" spans="1:11" ht="13.8" thickBot="1" x14ac:dyDescent="0.3">
      <c r="A23" s="2" t="s">
        <v>106</v>
      </c>
      <c r="B23" s="2">
        <v>45</v>
      </c>
      <c r="C23" s="2">
        <v>55</v>
      </c>
      <c r="D23" s="2"/>
      <c r="E23" s="25"/>
      <c r="F23" s="26"/>
      <c r="G23" s="26"/>
      <c r="H23" s="27"/>
      <c r="I23" s="16"/>
      <c r="J23" s="16"/>
    </row>
    <row r="24" spans="1:11" ht="13.2" x14ac:dyDescent="0.25">
      <c r="A24" s="2" t="s">
        <v>108</v>
      </c>
      <c r="B24" s="2">
        <v>25</v>
      </c>
      <c r="C24" s="2">
        <v>70</v>
      </c>
      <c r="D24" s="2"/>
      <c r="G24" s="16"/>
      <c r="H24" s="16"/>
      <c r="I24" s="16"/>
      <c r="J24" s="16"/>
    </row>
    <row r="25" spans="1:11" ht="13.2" x14ac:dyDescent="0.25">
      <c r="A25" s="2" t="s">
        <v>109</v>
      </c>
      <c r="B25" s="2">
        <v>35</v>
      </c>
      <c r="G25" s="16"/>
      <c r="H25" s="16"/>
      <c r="I25" s="16"/>
      <c r="J25" s="16"/>
    </row>
    <row r="26" spans="1:11" ht="13.2" x14ac:dyDescent="0.25">
      <c r="A26" s="2" t="s">
        <v>107</v>
      </c>
      <c r="B26" s="2">
        <v>60</v>
      </c>
      <c r="C26" s="2">
        <v>50</v>
      </c>
      <c r="D26" s="2"/>
    </row>
    <row r="27" spans="1:11" ht="13.2" x14ac:dyDescent="0.25">
      <c r="A27" s="2" t="s">
        <v>106</v>
      </c>
      <c r="B27" s="2">
        <v>80</v>
      </c>
      <c r="C27" s="2">
        <v>95</v>
      </c>
      <c r="D27" s="2"/>
    </row>
    <row r="28" spans="1:11" ht="13.2" x14ac:dyDescent="0.25">
      <c r="A28" s="2" t="s">
        <v>105</v>
      </c>
      <c r="B28" s="2">
        <v>40</v>
      </c>
      <c r="C28" s="2">
        <v>75</v>
      </c>
      <c r="D28" s="2"/>
    </row>
    <row r="29" spans="1:11" ht="13.2" x14ac:dyDescent="0.25">
      <c r="A29" s="2" t="s">
        <v>107</v>
      </c>
      <c r="B29" s="2">
        <v>65</v>
      </c>
      <c r="C29" s="2">
        <v>45</v>
      </c>
      <c r="D29" s="2"/>
    </row>
    <row r="30" spans="1:11" ht="13.2" x14ac:dyDescent="0.25">
      <c r="A30" s="2" t="s">
        <v>106</v>
      </c>
      <c r="B30" s="2">
        <v>55</v>
      </c>
      <c r="C30" s="2">
        <v>65</v>
      </c>
      <c r="D30" s="2"/>
    </row>
    <row r="31" spans="1:11" ht="13.2" x14ac:dyDescent="0.25">
      <c r="A31" s="2" t="s">
        <v>108</v>
      </c>
      <c r="B31" s="2">
        <v>70</v>
      </c>
      <c r="C31" s="2">
        <v>30</v>
      </c>
      <c r="D31" s="2"/>
    </row>
    <row r="32" spans="1:11" ht="13.2" x14ac:dyDescent="0.25">
      <c r="A32" s="2" t="s">
        <v>105</v>
      </c>
      <c r="B32" s="2">
        <v>45</v>
      </c>
    </row>
    <row r="33" spans="1:4" ht="13.2" x14ac:dyDescent="0.25">
      <c r="A33" s="2" t="s">
        <v>106</v>
      </c>
      <c r="B33" s="2">
        <v>25</v>
      </c>
      <c r="C33" s="2">
        <v>80</v>
      </c>
      <c r="D33" s="2"/>
    </row>
    <row r="34" spans="1:4" ht="13.2" x14ac:dyDescent="0.25">
      <c r="A34" s="2" t="s">
        <v>107</v>
      </c>
      <c r="B34" s="2">
        <v>35</v>
      </c>
      <c r="C34" s="2">
        <v>60</v>
      </c>
      <c r="D34" s="2"/>
    </row>
    <row r="35" spans="1:4" ht="13.2" x14ac:dyDescent="0.25">
      <c r="A35" s="2" t="s">
        <v>105</v>
      </c>
      <c r="B35" s="2">
        <v>60</v>
      </c>
      <c r="C35" s="2">
        <v>100</v>
      </c>
      <c r="D35" s="2"/>
    </row>
    <row r="36" spans="1:4" ht="13.2" x14ac:dyDescent="0.25">
      <c r="A36" s="2" t="s">
        <v>106</v>
      </c>
      <c r="B36" s="2">
        <v>80</v>
      </c>
      <c r="C36" s="2">
        <v>30</v>
      </c>
      <c r="D36" s="2"/>
    </row>
    <row r="37" spans="1:4" ht="13.2" x14ac:dyDescent="0.25">
      <c r="A37" s="2" t="s">
        <v>108</v>
      </c>
      <c r="B37" s="2">
        <v>40</v>
      </c>
    </row>
    <row r="38" spans="1:4" ht="13.2" x14ac:dyDescent="0.25">
      <c r="A38" s="2" t="s">
        <v>109</v>
      </c>
      <c r="B38" s="2">
        <v>65</v>
      </c>
      <c r="C38" s="2">
        <v>55</v>
      </c>
      <c r="D38" s="2"/>
    </row>
    <row r="39" spans="1:4" ht="13.2" x14ac:dyDescent="0.25">
      <c r="A39" s="2" t="s">
        <v>107</v>
      </c>
      <c r="B39" s="2">
        <v>55</v>
      </c>
      <c r="C39" s="2">
        <v>70</v>
      </c>
      <c r="D39" s="2"/>
    </row>
    <row r="40" spans="1:4" ht="13.2" x14ac:dyDescent="0.25">
      <c r="A40" s="2" t="s">
        <v>106</v>
      </c>
      <c r="B40" s="2">
        <v>70</v>
      </c>
      <c r="C40" s="2">
        <v>85</v>
      </c>
      <c r="D40" s="2"/>
    </row>
    <row r="41" spans="1:4" ht="13.2" x14ac:dyDescent="0.25">
      <c r="A41" s="2" t="s">
        <v>105</v>
      </c>
      <c r="B41" s="2">
        <v>40</v>
      </c>
      <c r="C41" s="2">
        <v>50</v>
      </c>
      <c r="D41" s="2"/>
    </row>
    <row r="42" spans="1:4" ht="13.2" x14ac:dyDescent="0.25">
      <c r="A42" s="2" t="s">
        <v>107</v>
      </c>
      <c r="B42" s="2">
        <v>20</v>
      </c>
      <c r="C42" s="2">
        <v>95</v>
      </c>
      <c r="D42" s="2"/>
    </row>
    <row r="43" spans="1:4" ht="13.2" x14ac:dyDescent="0.25">
      <c r="A43" s="2" t="s">
        <v>106</v>
      </c>
      <c r="B43" s="2">
        <v>90</v>
      </c>
      <c r="C43" s="2">
        <v>75</v>
      </c>
      <c r="D43" s="2"/>
    </row>
    <row r="44" spans="1:4" ht="13.2" x14ac:dyDescent="0.25">
      <c r="A44" s="2" t="s">
        <v>108</v>
      </c>
      <c r="B44" s="2">
        <v>50</v>
      </c>
      <c r="C44" s="2">
        <v>45</v>
      </c>
      <c r="D44" s="2"/>
    </row>
    <row r="45" spans="1:4" ht="13.2" x14ac:dyDescent="0.25">
      <c r="A45" s="2" t="s">
        <v>105</v>
      </c>
      <c r="B45" s="2">
        <v>60</v>
      </c>
      <c r="C45" s="2">
        <v>65</v>
      </c>
      <c r="D45" s="2"/>
    </row>
    <row r="46" spans="1:4" ht="13.2" x14ac:dyDescent="0.25">
      <c r="A46" s="2" t="s">
        <v>106</v>
      </c>
      <c r="B46" s="2">
        <v>45</v>
      </c>
    </row>
    <row r="47" spans="1:4" ht="13.2" x14ac:dyDescent="0.25">
      <c r="A47" s="2" t="s">
        <v>107</v>
      </c>
      <c r="B47" s="2">
        <v>25</v>
      </c>
    </row>
  </sheetData>
  <mergeCells count="3">
    <mergeCell ref="E10:H13"/>
    <mergeCell ref="E15:H18"/>
    <mergeCell ref="E20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3</vt:i4>
      </vt:variant>
    </vt:vector>
  </HeadingPairs>
  <TitlesOfParts>
    <vt:vector size="5" baseType="lpstr">
      <vt:lpstr>Parcheggio</vt:lpstr>
      <vt:lpstr>Frutta</vt:lpstr>
      <vt:lpstr>ORE_PARCHEGGIATE</vt:lpstr>
      <vt:lpstr>TARGA</vt:lpstr>
      <vt:lpstr>TIPOLOGIA_VEICOLO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Bo</dc:creator>
  <cp:lastModifiedBy>Anna Bonosi</cp:lastModifiedBy>
  <dcterms:created xsi:type="dcterms:W3CDTF">2026-02-16T13:46:32Z</dcterms:created>
  <dcterms:modified xsi:type="dcterms:W3CDTF">2026-02-20T16:33:58Z</dcterms:modified>
</cp:coreProperties>
</file>