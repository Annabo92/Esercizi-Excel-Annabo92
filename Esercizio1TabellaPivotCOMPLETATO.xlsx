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r\Desktop\EPICODE\Excel\Pratica\Esercizi completati\"/>
    </mc:Choice>
  </mc:AlternateContent>
  <xr:revisionPtr revIDLastSave="0" documentId="13_ncr:1_{8467020B-826B-4EE9-A25D-74E64EBCA763}" xr6:coauthVersionLast="47" xr6:coauthVersionMax="47" xr10:uidLastSave="{00000000-0000-0000-0000-000000000000}"/>
  <bookViews>
    <workbookView xWindow="-108" yWindow="-108" windowWidth="23256" windowHeight="12456" tabRatio="510" firstSheet="5" activeTab="9" xr2:uid="{00000000-000D-0000-FFFF-FFFF00000000}"/>
  </bookViews>
  <sheets>
    <sheet name="Vendite" sheetId="4" r:id="rId1"/>
    <sheet name="Dati di Supporto" sheetId="3" r:id="rId2"/>
    <sheet name="Esercizio 1" sheetId="5" r:id="rId3"/>
    <sheet name="Esercizio 2" sheetId="6" r:id="rId4"/>
    <sheet name="Esercizio 3" sheetId="7" r:id="rId5"/>
    <sheet name="Esercizio 4" sheetId="8" r:id="rId6"/>
    <sheet name="Esercizio 5" sheetId="9" r:id="rId7"/>
    <sheet name="Esercizio 6" sheetId="10" r:id="rId8"/>
    <sheet name="Esercizio 7" sheetId="11" r:id="rId9"/>
    <sheet name="Esercizio 8" sheetId="12" r:id="rId10"/>
  </sheets>
  <definedNames>
    <definedName name="_xlnm._FilterDatabase" localSheetId="0" hidden="1">Vendite!$B$1:$F$71</definedName>
    <definedName name="tabella" localSheetId="0">Vendite!$B$23:$F$77</definedName>
    <definedName name="tabella">#REF!</definedName>
  </definedNames>
  <calcPr calcId="191029"/>
  <pivotCaches>
    <pivotCache cacheId="190" r:id="rId11"/>
    <pivotCache cacheId="197" r:id="rId12"/>
    <pivotCache cacheId="203" r:id="rId13"/>
    <pivotCache cacheId="209" r:id="rId14"/>
    <pivotCache cacheId="215" r:id="rId15"/>
    <pivotCache cacheId="225" r:id="rId16"/>
    <pivotCache cacheId="229" r:id="rId17"/>
    <pivotCache cacheId="234" r:id="rId18"/>
    <pivotCache cacheId="239" r:id="rId19"/>
    <pivotCache cacheId="248" r:id="rId20"/>
  </pivotCaches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I2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7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2" i="4"/>
  <c r="P6" i="3"/>
  <c r="P5" i="3"/>
  <c r="P4" i="3"/>
  <c r="P3" i="3"/>
  <c r="P2" i="3"/>
</calcChain>
</file>

<file path=xl/sharedStrings.xml><?xml version="1.0" encoding="utf-8"?>
<sst xmlns="http://schemas.openxmlformats.org/spreadsheetml/2006/main" count="2090" uniqueCount="308">
  <si>
    <t>Venditore</t>
  </si>
  <si>
    <t>Rossi</t>
  </si>
  <si>
    <t>Verdi</t>
  </si>
  <si>
    <t>Bianchi</t>
  </si>
  <si>
    <t>Veneto</t>
  </si>
  <si>
    <t>Lombardia</t>
  </si>
  <si>
    <t xml:space="preserve">Fatturato </t>
  </si>
  <si>
    <t>data</t>
  </si>
  <si>
    <t>Neri</t>
  </si>
  <si>
    <t>Settore</t>
  </si>
  <si>
    <t>Informatica</t>
  </si>
  <si>
    <t>Cancelleria</t>
  </si>
  <si>
    <t>REGIONI</t>
  </si>
  <si>
    <t>ZONA</t>
  </si>
  <si>
    <t>Abruzzo</t>
  </si>
  <si>
    <t>CENTRO</t>
  </si>
  <si>
    <t>NORD</t>
  </si>
  <si>
    <t>Basilicata</t>
  </si>
  <si>
    <t>SUD</t>
  </si>
  <si>
    <t>Lazio</t>
  </si>
  <si>
    <t>Calabria</t>
  </si>
  <si>
    <t>Marche</t>
  </si>
  <si>
    <t>Campania</t>
  </si>
  <si>
    <t>ISOLE</t>
  </si>
  <si>
    <t>Molise</t>
  </si>
  <si>
    <t>Emilia-Romagna</t>
  </si>
  <si>
    <t>Toscana</t>
  </si>
  <si>
    <t>Friuli-Venezia Giulia</t>
  </si>
  <si>
    <t>Umbria</t>
  </si>
  <si>
    <t>Sardegna</t>
  </si>
  <si>
    <t>Liguria</t>
  </si>
  <si>
    <t>Sicilia</t>
  </si>
  <si>
    <t>Piemonte</t>
  </si>
  <si>
    <t>Puglia</t>
  </si>
  <si>
    <t>Trentino-Alto Adige</t>
  </si>
  <si>
    <t>Valle d'Aosta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</si>
  <si>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</si>
  <si>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</si>
  <si>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</si>
  <si>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</si>
  <si>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</si>
  <si>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</si>
  <si>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</si>
  <si>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</si>
  <si>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</si>
  <si>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</si>
  <si>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</si>
  <si>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</si>
  <si>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</si>
  <si>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</si>
  <si>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</si>
  <si>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</si>
  <si>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</si>
  <si>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</si>
  <si>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</si>
  <si>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</si>
  <si>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</si>
  <si>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</si>
  <si>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Catanzaro</t>
  </si>
  <si>
    <t>Chieti</t>
  </si>
  <si>
    <t>Como</t>
  </si>
  <si>
    <t>Cosenza</t>
  </si>
  <si>
    <t>Cremona</t>
  </si>
  <si>
    <t>Crotone</t>
  </si>
  <si>
    <t>Cuneo</t>
  </si>
  <si>
    <t>Enna</t>
  </si>
  <si>
    <t>Ferrara</t>
  </si>
  <si>
    <t>Firenze</t>
  </si>
  <si>
    <t>Foggia</t>
  </si>
  <si>
    <t>Frosinone</t>
  </si>
  <si>
    <t>Genova</t>
  </si>
  <si>
    <t>Gorizia</t>
  </si>
  <si>
    <t>Grosseto</t>
  </si>
  <si>
    <t>Imperia</t>
  </si>
  <si>
    <t>Isernia</t>
  </si>
  <si>
    <t>La Spezia</t>
  </si>
  <si>
    <t>L'Aquila</t>
  </si>
  <si>
    <t>Latina</t>
  </si>
  <si>
    <t>Lecce</t>
  </si>
  <si>
    <t>Lecco</t>
  </si>
  <si>
    <t>Livorno</t>
  </si>
  <si>
    <t>Lodi</t>
  </si>
  <si>
    <t>Lucca</t>
  </si>
  <si>
    <t>Macerata</t>
  </si>
  <si>
    <t>Mantova</t>
  </si>
  <si>
    <t>Massa-Carrara</t>
  </si>
  <si>
    <t>Matera</t>
  </si>
  <si>
    <t>Messina</t>
  </si>
  <si>
    <t>Milano</t>
  </si>
  <si>
    <t>Modena</t>
  </si>
  <si>
    <t>Napoli</t>
  </si>
  <si>
    <t>Novara</t>
  </si>
  <si>
    <t>Nuoro</t>
  </si>
  <si>
    <t>Oristano</t>
  </si>
  <si>
    <t>Padova</t>
  </si>
  <si>
    <t>Palermo</t>
  </si>
  <si>
    <t>Parma</t>
  </si>
  <si>
    <t>Pavia</t>
  </si>
  <si>
    <t>Perugia</t>
  </si>
  <si>
    <t>Pesaro e Urbino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</si>
  <si>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</si>
  <si>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</si>
  <si>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</si>
  <si>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</si>
  <si>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</si>
  <si>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</si>
  <si>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</si>
  <si>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</si>
  <si>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</si>
  <si>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Rieti</t>
  </si>
  <si>
    <t>Rimini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</si>
  <si>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</si>
  <si>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</si>
  <si>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</si>
  <si>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</si>
  <si>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</si>
  <si>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</si>
  <si>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</si>
  <si>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</si>
  <si>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</si>
  <si>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</si>
  <si>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</si>
  <si>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</si>
  <si>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</si>
  <si>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</si>
  <si>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</si>
  <si>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Trieste</t>
  </si>
  <si>
    <t>Udine</t>
  </si>
  <si>
    <t>Varese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</si>
  <si>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</si>
  <si>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</si>
  <si>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</si>
  <si>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</si>
  <si>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</si>
  <si>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</si>
  <si>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</si>
  <si>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AG</t>
  </si>
  <si>
    <t>AL</t>
  </si>
  <si>
    <t>AN</t>
  </si>
  <si>
    <t>AO</t>
  </si>
  <si>
    <t>AR</t>
  </si>
  <si>
    <t>AP</t>
  </si>
  <si>
    <t>AT</t>
  </si>
  <si>
    <t>AV</t>
  </si>
  <si>
    <t>BA</t>
  </si>
  <si>
    <t>BL</t>
  </si>
  <si>
    <t>BN</t>
  </si>
  <si>
    <t>BG</t>
  </si>
  <si>
    <t>BI</t>
  </si>
  <si>
    <t>BO</t>
  </si>
  <si>
    <t>BZ</t>
  </si>
  <si>
    <t>BS</t>
  </si>
  <si>
    <t>BR</t>
  </si>
  <si>
    <t>CA</t>
  </si>
  <si>
    <t>CL</t>
  </si>
  <si>
    <t>CB</t>
  </si>
  <si>
    <t>CE</t>
  </si>
  <si>
    <t>CT</t>
  </si>
  <si>
    <t>CZ</t>
  </si>
  <si>
    <t>CH</t>
  </si>
  <si>
    <t>CO</t>
  </si>
  <si>
    <t>CS</t>
  </si>
  <si>
    <t>CR</t>
  </si>
  <si>
    <t>KR</t>
  </si>
  <si>
    <t>CN</t>
  </si>
  <si>
    <t>EN</t>
  </si>
  <si>
    <t>FE</t>
  </si>
  <si>
    <t>FI</t>
  </si>
  <si>
    <t>FG</t>
  </si>
  <si>
    <t>Forli'-Cesena</t>
  </si>
  <si>
    <t>FO</t>
  </si>
  <si>
    <t>FR</t>
  </si>
  <si>
    <t>GE</t>
  </si>
  <si>
    <t>GO</t>
  </si>
  <si>
    <t>GR</t>
  </si>
  <si>
    <t>IM</t>
  </si>
  <si>
    <t>IS</t>
  </si>
  <si>
    <t>SP</t>
  </si>
  <si>
    <t>AQ</t>
  </si>
  <si>
    <t>LT</t>
  </si>
  <si>
    <t>LE</t>
  </si>
  <si>
    <t>LC</t>
  </si>
  <si>
    <t>LI</t>
  </si>
  <si>
    <t>LO</t>
  </si>
  <si>
    <t>LU</t>
  </si>
  <si>
    <t>MC</t>
  </si>
  <si>
    <t>MN</t>
  </si>
  <si>
    <t>MS</t>
  </si>
  <si>
    <t>MT</t>
  </si>
  <si>
    <t>ME</t>
  </si>
  <si>
    <t>MI</t>
  </si>
  <si>
    <t>MO</t>
  </si>
  <si>
    <t>NA</t>
  </si>
  <si>
    <t>NO</t>
  </si>
  <si>
    <t>NU</t>
  </si>
  <si>
    <t>OR</t>
  </si>
  <si>
    <t>PD</t>
  </si>
  <si>
    <t>PA</t>
  </si>
  <si>
    <t>PR</t>
  </si>
  <si>
    <t>PV</t>
  </si>
  <si>
    <t>PG</t>
  </si>
  <si>
    <t>PS</t>
  </si>
  <si>
    <t>PE</t>
  </si>
  <si>
    <t>PC</t>
  </si>
  <si>
    <t>PI</t>
  </si>
  <si>
    <t>PT</t>
  </si>
  <si>
    <t>PN</t>
  </si>
  <si>
    <t>PZ</t>
  </si>
  <si>
    <t>PO</t>
  </si>
  <si>
    <t>RG</t>
  </si>
  <si>
    <t>RA</t>
  </si>
  <si>
    <t>Reggio di Calabria</t>
  </si>
  <si>
    <t>RC</t>
  </si>
  <si>
    <t>Reggio nell'Emilia</t>
  </si>
  <si>
    <t>RE</t>
  </si>
  <si>
    <t>RI</t>
  </si>
  <si>
    <t>RN</t>
  </si>
  <si>
    <t>RM</t>
  </si>
  <si>
    <t>RO</t>
  </si>
  <si>
    <t>SA</t>
  </si>
  <si>
    <t>SS</t>
  </si>
  <si>
    <t>SV</t>
  </si>
  <si>
    <t>SI</t>
  </si>
  <si>
    <t>SR</t>
  </si>
  <si>
    <t>SO</t>
  </si>
  <si>
    <t>TA</t>
  </si>
  <si>
    <t>TE</t>
  </si>
  <si>
    <t>TR</t>
  </si>
  <si>
    <t>TO</t>
  </si>
  <si>
    <t>TP</t>
  </si>
  <si>
    <t>TN</t>
  </si>
  <si>
    <t>TV</t>
  </si>
  <si>
    <t>TS</t>
  </si>
  <si>
    <t>UD</t>
  </si>
  <si>
    <t>VA</t>
  </si>
  <si>
    <t>VE</t>
  </si>
  <si>
    <t>VB</t>
  </si>
  <si>
    <t>VC</t>
  </si>
  <si>
    <t>VR</t>
  </si>
  <si>
    <t>VV</t>
  </si>
  <si>
    <t>VI</t>
  </si>
  <si>
    <t>VT</t>
  </si>
  <si>
    <t>SIGLA</t>
  </si>
  <si>
    <t>PROVINCE</t>
  </si>
  <si>
    <t>Provincia</t>
  </si>
  <si>
    <t>ID</t>
  </si>
  <si>
    <t>VENDITORI</t>
  </si>
  <si>
    <t>Azzurri</t>
  </si>
  <si>
    <t>Gialli</t>
  </si>
  <si>
    <t>SETTORE</t>
  </si>
  <si>
    <t>Giocattoli</t>
  </si>
  <si>
    <t>Art. Regalo</t>
  </si>
  <si>
    <t>Libri</t>
  </si>
  <si>
    <t>ID Vendita</t>
  </si>
  <si>
    <t>NOME FASCE</t>
  </si>
  <si>
    <t>SOGLIA</t>
  </si>
  <si>
    <t>NR</t>
  </si>
  <si>
    <t>Modalità di pagamento</t>
  </si>
  <si>
    <t>Contanti</t>
  </si>
  <si>
    <t>Bonifico Bancario</t>
  </si>
  <si>
    <t>Carta di credito</t>
  </si>
  <si>
    <t>Bollettino postale</t>
  </si>
  <si>
    <t>Assegno Bancario</t>
  </si>
  <si>
    <t>ID tipo pagamento</t>
  </si>
  <si>
    <t>Etichette di riga</t>
  </si>
  <si>
    <t>Totale complessivo</t>
  </si>
  <si>
    <t>Etichette di colonna</t>
  </si>
  <si>
    <t>Agente</t>
  </si>
  <si>
    <t xml:space="preserve">Somma di Fatturato </t>
  </si>
  <si>
    <t xml:space="preserve">Media di Fatturato </t>
  </si>
  <si>
    <t>mar</t>
  </si>
  <si>
    <t>mag</t>
  </si>
  <si>
    <t>apr</t>
  </si>
  <si>
    <t>giu</t>
  </si>
  <si>
    <t>feb</t>
  </si>
  <si>
    <t>gen</t>
  </si>
  <si>
    <t>Mesi</t>
  </si>
  <si>
    <t>Fatturato Settore/mese</t>
  </si>
  <si>
    <t>Regione</t>
  </si>
  <si>
    <t>Sigla</t>
  </si>
  <si>
    <t xml:space="preserve">Fatturato medio </t>
  </si>
  <si>
    <t>Zona</t>
  </si>
  <si>
    <t>Vedite</t>
  </si>
  <si>
    <t>Conteggio di Vedite</t>
  </si>
  <si>
    <t>Fascia d'importo</t>
  </si>
  <si>
    <t>Fascia 1 (inferiore a 400 €)</t>
  </si>
  <si>
    <t>Fascia 4 (da 1200 €  a meno di 1500 €)</t>
  </si>
  <si>
    <t>Fascia 3 (da 800 €  a meno di 1200 €)</t>
  </si>
  <si>
    <t>Fascia 2 (da 400 €  a meno di 800 €)</t>
  </si>
  <si>
    <t>Fascia 5 (da 1500 € e oltre)</t>
  </si>
  <si>
    <t>Nr vendite per fascia e agente</t>
  </si>
  <si>
    <t>Fascia</t>
  </si>
  <si>
    <t>Zone/Regioni</t>
  </si>
  <si>
    <t>Fatturato per:</t>
  </si>
  <si>
    <t>% rispetto al fatturato complessivo</t>
  </si>
  <si>
    <t>% rispetto al numero di vendite complessivo</t>
  </si>
  <si>
    <t>Tipo di pagamento</t>
  </si>
  <si>
    <t>Somma di Art. Regalo</t>
  </si>
  <si>
    <t>Somma di Cancelleria</t>
  </si>
  <si>
    <t>Somma di Informatica</t>
  </si>
  <si>
    <t>Somma di Giocattoli</t>
  </si>
  <si>
    <t>Somma di Libri</t>
  </si>
  <si>
    <t>Somma di Azzurri</t>
  </si>
  <si>
    <t>Somma di Bianchi</t>
  </si>
  <si>
    <t>Somma di Gialli</t>
  </si>
  <si>
    <t>Somma di Neri</t>
  </si>
  <si>
    <t>Somma di Rossi</t>
  </si>
  <si>
    <t>Somma di 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</si>
</sst>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1" xfId="1" applyFont="1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2" fillId="3" borderId="1" xfId="2" applyFont="1" applyFill="1" applyBorder="1" applyAlignment="1">
      <alignment horizontal="center"/>
    </xf>
    <xf numFmtId="0" fontId="3" fillId="0" borderId="0" xfId="2"/>
    <xf numFmtId="0" fontId="3" fillId="0" borderId="1" xfId="2" applyBorder="1"/>
    <xf numFmtId="0" fontId="0" fillId="0" borderId="1" xfId="0" applyBorder="1"/>
    <xf numFmtId="0" fontId="3" fillId="0" borderId="1" xfId="2" applyBorder="1" applyAlignment="1">
      <alignment horizontal="center"/>
    </xf>
    <xf numFmtId="0" fontId="3" fillId="0" borderId="0" xfId="2" applyAlignment="1">
      <alignment horizont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10" fontId="0" fillId="0" borderId="0" xfId="0" applyNumberFormat="1"/>
  </cellXfs>
  <cellStyles count="3">
    <cellStyle name="Normale" xfId="0" builtinId="0"/>
    <cellStyle name="Normale 2" xfId="2" xr:uid="{00000000-0005-0000-0000-000001000000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1!Tabella pivot10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1'!$G$18:$G$19</c:f>
              <c:strCache>
                <c:ptCount val="1"/>
                <c:pt idx="0">
                  <c:v>Azzurri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1'!$G$20</c:f>
              <c:numCache>
                <c:formatCode>_-"€"\ * #,##0.00_-;\-"€"\ * #,##0.00_-;_-"€"\ * "-"??_-;_-@_-</c:formatCode>
                <c:ptCount val="1"/>
                <c:pt idx="0">
                  <c:v>1061.5999999999999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F-466F-9A43-8379E942DBA1}"/>
            </c:ext>
          </c:extLst>
        </c:ser>
        <c:ser>
          <c:idx val="1"/>
          <c:order val="1"/>
          <c:tx>
            <c:strRef>
              <c:f>'Esercizio 1'!$H$18:$H$19</c:f>
              <c:strCache>
                <c:ptCount val="1"/>
                <c:pt idx="0">
                  <c:v>Bianchi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1'!$H$20</c:f>
              <c:numCache>
                <c:formatCode>_-"€"\ * #,##0.00_-;\-"€"\ * #,##0.00_-;_-"€"\ * "-"??_-;_-@_-</c:formatCode>
                <c:ptCount val="1"/>
                <c:pt idx="0">
                  <c:v>1039.8095238095239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F-466F-9A43-8379E942DBA1}"/>
            </c:ext>
          </c:extLst>
        </c:ser>
        <c:ser>
          <c:idx val="2"/>
          <c:order val="2"/>
          <c:tx>
            <c:strRef>
              <c:f>'Esercizio 1'!$I$18:$I$19</c:f>
              <c:strCache>
                <c:ptCount val="1"/>
                <c:pt idx="0">
                  <c:v>Gialli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1'!$I$20</c:f>
              <c:numCache>
                <c:formatCode>_-"€"\ * #,##0.00_-;\-"€"\ * #,##0.00_-;_-"€"\ * "-"??_-;_-@_-</c:formatCode>
                <c:ptCount val="1"/>
                <c:pt idx="0">
                  <c:v>1065.7272727272727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F-466F-9A43-8379E942DBA1}"/>
            </c:ext>
          </c:extLst>
        </c:ser>
        <c:ser>
          <c:idx val="3"/>
          <c:order val="3"/>
          <c:tx>
            <c:strRef>
              <c:f>'Esercizio 1'!$J$18:$J$19</c:f>
              <c:strCache>
                <c:ptCount val="1"/>
                <c:pt idx="0">
                  <c:v>Neri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1'!$J$20</c:f>
              <c:numCache>
                <c:formatCode>_-"€"\ * #,##0.00_-;\-"€"\ * #,##0.00_-;_-"€"\ * "-"??_-;_-@_-</c:formatCode>
                <c:ptCount val="1"/>
                <c:pt idx="0">
                  <c:v>1182.7333333333333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F-466F-9A43-8379E942DBA1}"/>
            </c:ext>
          </c:extLst>
        </c:ser>
        <c:ser>
          <c:idx val="4"/>
          <c:order val="4"/>
          <c:tx>
            <c:strRef>
              <c:f>'Esercizio 1'!$K$18:$K$19</c:f>
              <c:strCache>
                <c:ptCount val="1"/>
                <c:pt idx="0">
                  <c:v>Rossi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1'!$K$20</c:f>
              <c:numCache>
                <c:formatCode>_-"€"\ * #,##0.00_-;\-"€"\ * #,##0.00_-;_-"€"\ * "-"??_-;_-@_-</c:formatCode>
                <c:ptCount val="1"/>
                <c:pt idx="0">
                  <c:v>963.36842105263156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9F-466F-9A43-8379E942DBA1}"/>
            </c:ext>
          </c:extLst>
        </c:ser>
        <c:ser>
          <c:idx val="5"/>
          <c:order val="5"/>
          <c:tx>
            <c:strRef>
              <c:f>'Esercizio 1'!$L$18:$L$19</c:f>
              <c:strCache>
                <c:ptCount val="1"/>
                <c:pt idx="0">
                  <c:v>Totale complessivo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1'!$L$20</c:f>
              <c:numCache>
                <c:formatCode>_-"€"\ * #,##0.00_-;\-"€"\ * #,##0.00_-;_-"€"\ * "-"??_-;_-@_-</c:formatCode>
                <c:ptCount val="1"/>
                <c:pt idx="0">
                  <c:v>1033.5999999999999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9F-466F-9A43-8379E942DBA1}"/>
            </c:ext>
          </c:extLst>
        </c:ser>
        <c:ser>
          <c:idx val="6"/>
          <c:order val="6"/>
          <c:tx>
            <c:strRef>
              <c:f>'Esercizio 1'!$M$18:$M$19</c:f>
              <c:strCache>
                <c:ptCount val="1"/>
                <c:pt idx="0">
                  <c:v>Verdi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1'!$F$20</c:f>
              <c:strCache>
                <c:ptCount val="1"/>
                <c:pt idx="0">
                  <c:v>Totale</c:v>
                </c:pt>
              </c:strCache>
            </c:strRef>
          </c:cat>
          <c:val>
            <c:numRef>
              <c:f>'Esercizio 1'!$M$20</c:f>
              <c:numCache>
                <c:formatCode>_-"€"\ * #,##0.00_-;\-"€"\ * #,##0.00_-;_-"€"\ * "-"??_-;_-@_-</c:formatCode>
                <c:ptCount val="1"/>
                <c:pt idx="0">
                  <c:v>913.61111111111109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9F-466F-9A43-8379E942D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0133647"/>
        <c:axId val="650009615"/>
      </c:barChart>
      <c:catAx>
        <c:axId val="15901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0009615"/>
        <c:crosses val="autoZero"/>
        <c:auto val="1"/>
        <c:lblAlgn val="ctr"/>
        <c:lblOffset val="100"/>
        <c:noMultiLvlLbl val="0"/>
      </c:catAx>
      <c:valAx>
        <c:axId val="6500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01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2!Tabella pivot11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2'!$C$18</c:f>
              <c:strCache>
                <c:ptCount val="1"/>
                <c:pt idx="0">
                  <c:v>Somma di Cancelleria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2'!$B$19:$B$22</c:f>
              <c:strCache>
                <c:ptCount val="3"/>
                <c:pt idx="0">
                  <c:v>Bianchi</c:v>
                </c:pt>
                <c:pt idx="1">
                  <c:v>Neri</c:v>
                </c:pt>
                <c:pt idx="2">
                  <c:v>Verdi</c:v>
                </c:pt>
              </c:strCache>
            </c:strRef>
          </c:cat>
          <c:val>
            <c:numRef>
              <c:f>'Esercizio 2'!$C$19:$C$22</c:f>
              <c:numCache>
                <c:formatCode>General</c:formatCode>
                <c:ptCount val="3"/>
                <c:pt idx="0">
                  <c:v>715</c:v>
                </c:pt>
                <c:pt idx="1">
                  <c:v>1421</c:v>
                </c:pt>
                <c:pt idx="2">
                  <c:v>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F4-4E37-89A3-D3D7A5FF5497}"/>
            </c:ext>
          </c:extLst>
        </c:ser>
        <c:ser>
          <c:idx val="1"/>
          <c:order val="1"/>
          <c:tx>
            <c:strRef>
              <c:f>'Esercizio 2'!$D$18</c:f>
              <c:strCache>
                <c:ptCount val="1"/>
                <c:pt idx="0">
                  <c:v>Somma di Informatica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2'!$B$19:$B$22</c:f>
              <c:strCache>
                <c:ptCount val="3"/>
                <c:pt idx="0">
                  <c:v>Bianchi</c:v>
                </c:pt>
                <c:pt idx="1">
                  <c:v>Neri</c:v>
                </c:pt>
                <c:pt idx="2">
                  <c:v>Verdi</c:v>
                </c:pt>
              </c:strCache>
            </c:strRef>
          </c:cat>
          <c:val>
            <c:numRef>
              <c:f>'Esercizio 2'!$D$19:$D$22</c:f>
              <c:numCache>
                <c:formatCode>General</c:formatCode>
                <c:ptCount val="3"/>
                <c:pt idx="0">
                  <c:v>1090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F4-4E37-89A3-D3D7A5FF5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310415"/>
        <c:axId val="2130314527"/>
      </c:barChart>
      <c:catAx>
        <c:axId val="213031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314527"/>
        <c:crosses val="autoZero"/>
        <c:auto val="1"/>
        <c:lblAlgn val="ctr"/>
        <c:lblOffset val="100"/>
        <c:noMultiLvlLbl val="0"/>
      </c:catAx>
      <c:valAx>
        <c:axId val="2130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3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3!Tabella pivot12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3'!$C$17</c:f>
              <c:strCache>
                <c:ptCount val="1"/>
                <c:pt idx="0">
                  <c:v>Somma di Art. Regalo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3'!$B$18:$B$25</c:f>
              <c:strCache>
                <c:ptCount val="7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Totale complessivo</c:v>
                </c:pt>
              </c:strCache>
            </c:strRef>
          </c:cat>
          <c:val>
            <c:numRef>
              <c:f>'Esercizio 3'!$C$18:$C$25</c:f>
              <c:numCache>
                <c:formatCode>_-"€"\ * #,##0.00_-;\-"€"\ * #,##0.00_-;_-"€"\ * "-"??_-;_-@_-</c:formatCode>
                <c:ptCount val="7"/>
                <c:pt idx="0">
                  <c:v>8993</c:v>
                </c:pt>
                <c:pt idx="1">
                  <c:v>24821</c:v>
                </c:pt>
                <c:pt idx="2">
                  <c:v>14467</c:v>
                </c:pt>
                <c:pt idx="3">
                  <c:v>22590</c:v>
                </c:pt>
                <c:pt idx="4">
                  <c:v>20012</c:v>
                </c:pt>
                <c:pt idx="5">
                  <c:v>22813</c:v>
                </c:pt>
                <c:pt idx="6">
                  <c:v>113696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D-4625-9D38-FB34C490425E}"/>
            </c:ext>
          </c:extLst>
        </c:ser>
        <c:ser>
          <c:idx val="1"/>
          <c:order val="1"/>
          <c:tx>
            <c:strRef>
              <c:f>'Esercizio 3'!$D$17</c:f>
              <c:strCache>
                <c:ptCount val="1"/>
                <c:pt idx="0">
                  <c:v>Somma di Cancelleria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3'!$B$18:$B$25</c:f>
              <c:strCache>
                <c:ptCount val="7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Totale complessivo</c:v>
                </c:pt>
              </c:strCache>
            </c:strRef>
          </c:cat>
          <c:val>
            <c:numRef>
              <c:f>'Esercizio 3'!$D$18:$D$25</c:f>
              <c:numCache>
                <c:formatCode>_-"€"\ * #,##0.00_-;\-"€"\ * #,##0.00_-;_-"€"\ * "-"??_-;_-@_-</c:formatCode>
                <c:ptCount val="7"/>
                <c:pt idx="0">
                  <c:v>18166</c:v>
                </c:pt>
                <c:pt idx="1">
                  <c:v>13396</c:v>
                </c:pt>
                <c:pt idx="2">
                  <c:v>15587</c:v>
                </c:pt>
                <c:pt idx="3">
                  <c:v>13960</c:v>
                </c:pt>
                <c:pt idx="4">
                  <c:v>16914</c:v>
                </c:pt>
                <c:pt idx="5">
                  <c:v>18049</c:v>
                </c:pt>
                <c:pt idx="6">
                  <c:v>96072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5D-4625-9D38-FB34C490425E}"/>
            </c:ext>
          </c:extLst>
        </c:ser>
        <c:ser>
          <c:idx val="2"/>
          <c:order val="2"/>
          <c:tx>
            <c:strRef>
              <c:f>'Esercizio 3'!$E$17</c:f>
              <c:strCache>
                <c:ptCount val="1"/>
                <c:pt idx="0">
                  <c:v>Somma di Giocattoli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'Esercizio 3'!$B$18:$B$25</c:f>
              <c:strCache>
                <c:ptCount val="7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Totale complessivo</c:v>
                </c:pt>
              </c:strCache>
            </c:strRef>
          </c:cat>
          <c:val>
            <c:numRef>
              <c:f>'Esercizio 3'!$E$18:$E$25</c:f>
              <c:numCache>
                <c:formatCode>_-"€"\ * #,##0.00_-;\-"€"\ * #,##0.00_-;_-"€"\ * "-"??_-;_-@_-</c:formatCode>
                <c:ptCount val="7"/>
                <c:pt idx="0">
                  <c:v>18737</c:v>
                </c:pt>
                <c:pt idx="1">
                  <c:v>22665</c:v>
                </c:pt>
                <c:pt idx="2">
                  <c:v>10142</c:v>
                </c:pt>
                <c:pt idx="3">
                  <c:v>14922</c:v>
                </c:pt>
                <c:pt idx="4">
                  <c:v>24718</c:v>
                </c:pt>
                <c:pt idx="5">
                  <c:v>11389</c:v>
                </c:pt>
                <c:pt idx="6">
                  <c:v>102573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5D-4625-9D38-FB34C490425E}"/>
            </c:ext>
          </c:extLst>
        </c:ser>
        <c:ser>
          <c:idx val="3"/>
          <c:order val="3"/>
          <c:tx>
            <c:strRef>
              <c:f>'Esercizio 3'!$F$17</c:f>
              <c:strCache>
                <c:ptCount val="1"/>
                <c:pt idx="0">
                  <c:v>Somma di Informatica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'Esercizio 3'!$B$18:$B$25</c:f>
              <c:strCache>
                <c:ptCount val="7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Totale complessivo</c:v>
                </c:pt>
              </c:strCache>
            </c:strRef>
          </c:cat>
          <c:val>
            <c:numRef>
              <c:f>'Esercizio 3'!$F$18:$F$25</c:f>
              <c:numCache>
                <c:formatCode>_-"€"\ * #,##0.00_-;\-"€"\ * #,##0.00_-;_-"€"\ * "-"??_-;_-@_-</c:formatCode>
                <c:ptCount val="7"/>
                <c:pt idx="0">
                  <c:v>12190</c:v>
                </c:pt>
                <c:pt idx="1">
                  <c:v>16942</c:v>
                </c:pt>
                <c:pt idx="2">
                  <c:v>20558</c:v>
                </c:pt>
                <c:pt idx="3">
                  <c:v>18124</c:v>
                </c:pt>
                <c:pt idx="4">
                  <c:v>13463</c:v>
                </c:pt>
                <c:pt idx="5">
                  <c:v>15834</c:v>
                </c:pt>
                <c:pt idx="6">
                  <c:v>97111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5D-4625-9D38-FB34C490425E}"/>
            </c:ext>
          </c:extLst>
        </c:ser>
        <c:ser>
          <c:idx val="4"/>
          <c:order val="4"/>
          <c:tx>
            <c:strRef>
              <c:f>'Esercizio 3'!$G$17</c:f>
              <c:strCache>
                <c:ptCount val="1"/>
                <c:pt idx="0">
                  <c:v>Somma di Libri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'Esercizio 3'!$B$18:$B$25</c:f>
              <c:strCache>
                <c:ptCount val="7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Totale complessivo</c:v>
                </c:pt>
              </c:strCache>
            </c:strRef>
          </c:cat>
          <c:val>
            <c:numRef>
              <c:f>'Esercizio 3'!$G$18:$G$25</c:f>
              <c:numCache>
                <c:formatCode>_-"€"\ * #,##0.00_-;\-"€"\ * #,##0.00_-;_-"€"\ * "-"??_-;_-@_-</c:formatCode>
                <c:ptCount val="7"/>
                <c:pt idx="0">
                  <c:v>16234</c:v>
                </c:pt>
                <c:pt idx="1">
                  <c:v>20553</c:v>
                </c:pt>
                <c:pt idx="2">
                  <c:v>15611</c:v>
                </c:pt>
                <c:pt idx="3">
                  <c:v>14466</c:v>
                </c:pt>
                <c:pt idx="4">
                  <c:v>14273</c:v>
                </c:pt>
                <c:pt idx="5">
                  <c:v>22809</c:v>
                </c:pt>
                <c:pt idx="6">
                  <c:v>103946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5D-4625-9D38-FB34C4904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020383"/>
        <c:axId val="1226023743"/>
      </c:barChart>
      <c:catAx>
        <c:axId val="122602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6023743"/>
        <c:crosses val="autoZero"/>
        <c:auto val="1"/>
        <c:lblAlgn val="ctr"/>
        <c:lblOffset val="100"/>
        <c:noMultiLvlLbl val="0"/>
      </c:catAx>
      <c:valAx>
        <c:axId val="12260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602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4!Tabella pivot4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15471226187773"/>
          <c:y val="5.0056903874089773E-2"/>
          <c:w val="0.66083483684418054"/>
          <c:h val="0.540138049723808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'Esercizio 4'!$B$3:$B$4</c:f>
              <c:strCache>
                <c:ptCount val="1"/>
                <c:pt idx="0">
                  <c:v>Art. Regalo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4'!$A$5:$A$23</c:f>
              <c:strCache>
                <c:ptCount val="18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Friuli-Venezia Giulia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Piemonte</c:v>
                </c:pt>
                <c:pt idx="11">
                  <c:v>Puglia</c:v>
                </c:pt>
                <c:pt idx="12">
                  <c:v>Sardegna</c:v>
                </c:pt>
                <c:pt idx="13">
                  <c:v>Sicilia</c:v>
                </c:pt>
                <c:pt idx="14">
                  <c:v>Toscana</c:v>
                </c:pt>
                <c:pt idx="15">
                  <c:v>Trentino-Alto Adige</c:v>
                </c:pt>
                <c:pt idx="16">
                  <c:v>Umbria</c:v>
                </c:pt>
                <c:pt idx="17">
                  <c:v>Veneto</c:v>
                </c:pt>
              </c:strCache>
            </c:strRef>
          </c:cat>
          <c:val>
            <c:numRef>
              <c:f>'Esercizio 4'!$B$5:$B$23</c:f>
              <c:numCache>
                <c:formatCode>_-"€"\ * #,##0.00_-;\-"€"\ * #,##0.00_-;_-"€"\ * "-"??_-;_-@_-</c:formatCode>
                <c:ptCount val="18"/>
                <c:pt idx="0">
                  <c:v>417</c:v>
                </c:pt>
                <c:pt idx="1">
                  <c:v>1030.5999999999999</c:v>
                </c:pt>
                <c:pt idx="2">
                  <c:v>1236.25</c:v>
                </c:pt>
                <c:pt idx="3">
                  <c:v>1239.25</c:v>
                </c:pt>
                <c:pt idx="4">
                  <c:v>1299.8888888888889</c:v>
                </c:pt>
                <c:pt idx="5">
                  <c:v>723.33333333333337</c:v>
                </c:pt>
                <c:pt idx="6">
                  <c:v>1107.3636363636363</c:v>
                </c:pt>
                <c:pt idx="7">
                  <c:v>688.5</c:v>
                </c:pt>
                <c:pt idx="8">
                  <c:v>860.28571428571433</c:v>
                </c:pt>
                <c:pt idx="9">
                  <c:v>947.66666666666663</c:v>
                </c:pt>
                <c:pt idx="10">
                  <c:v>1180.5454545454545</c:v>
                </c:pt>
                <c:pt idx="12">
                  <c:v>1123.8</c:v>
                </c:pt>
                <c:pt idx="13">
                  <c:v>1231.7142857142858</c:v>
                </c:pt>
                <c:pt idx="14">
                  <c:v>831</c:v>
                </c:pt>
                <c:pt idx="16">
                  <c:v>675.875</c:v>
                </c:pt>
                <c:pt idx="17">
                  <c:v>1269.4166666666667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1-4319-B5E7-DDEC664F3089}"/>
            </c:ext>
          </c:extLst>
        </c:ser>
        <c:ser>
          <c:idx val="1"/>
          <c:order val="1"/>
          <c:tx>
            <c:strRef>
              <c:f>'Esercizio 4'!$C$3:$C$4</c:f>
              <c:strCache>
                <c:ptCount val="1"/>
                <c:pt idx="0">
                  <c:v>Cancelleria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4'!$A$5:$A$23</c:f>
              <c:strCache>
                <c:ptCount val="18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Friuli-Venezia Giulia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Piemonte</c:v>
                </c:pt>
                <c:pt idx="11">
                  <c:v>Puglia</c:v>
                </c:pt>
                <c:pt idx="12">
                  <c:v>Sardegna</c:v>
                </c:pt>
                <c:pt idx="13">
                  <c:v>Sicilia</c:v>
                </c:pt>
                <c:pt idx="14">
                  <c:v>Toscana</c:v>
                </c:pt>
                <c:pt idx="15">
                  <c:v>Trentino-Alto Adige</c:v>
                </c:pt>
                <c:pt idx="16">
                  <c:v>Umbria</c:v>
                </c:pt>
                <c:pt idx="17">
                  <c:v>Veneto</c:v>
                </c:pt>
              </c:strCache>
            </c:strRef>
          </c:cat>
          <c:val>
            <c:numRef>
              <c:f>'Esercizio 4'!$C$5:$C$23</c:f>
              <c:numCache>
                <c:formatCode>_-"€"\ * #,##0.00_-;\-"€"\ * #,##0.00_-;_-"€"\ * "-"??_-;_-@_-</c:formatCode>
                <c:ptCount val="18"/>
                <c:pt idx="0">
                  <c:v>726</c:v>
                </c:pt>
                <c:pt idx="1">
                  <c:v>764.66666666666663</c:v>
                </c:pt>
                <c:pt idx="2">
                  <c:v>1472.75</c:v>
                </c:pt>
                <c:pt idx="4">
                  <c:v>1040.3076923076924</c:v>
                </c:pt>
                <c:pt idx="5">
                  <c:v>531.33333333333337</c:v>
                </c:pt>
                <c:pt idx="6">
                  <c:v>1129.4285714285713</c:v>
                </c:pt>
                <c:pt idx="7">
                  <c:v>1493</c:v>
                </c:pt>
                <c:pt idx="8">
                  <c:v>1039.125</c:v>
                </c:pt>
                <c:pt idx="9">
                  <c:v>1032.6666666666667</c:v>
                </c:pt>
                <c:pt idx="10">
                  <c:v>532.55555555555554</c:v>
                </c:pt>
                <c:pt idx="12">
                  <c:v>1045.6666666666667</c:v>
                </c:pt>
                <c:pt idx="13">
                  <c:v>1156.6666666666667</c:v>
                </c:pt>
                <c:pt idx="14">
                  <c:v>1178.090909090909</c:v>
                </c:pt>
                <c:pt idx="15">
                  <c:v>685.33333333333337</c:v>
                </c:pt>
                <c:pt idx="16">
                  <c:v>1001.25</c:v>
                </c:pt>
                <c:pt idx="17">
                  <c:v>865.90909090909088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1-4319-B5E7-DDEC664F3089}"/>
            </c:ext>
          </c:extLst>
        </c:ser>
        <c:ser>
          <c:idx val="2"/>
          <c:order val="2"/>
          <c:tx>
            <c:strRef>
              <c:f>'Esercizio 4'!$D$3:$D$4</c:f>
              <c:strCache>
                <c:ptCount val="1"/>
                <c:pt idx="0">
                  <c:v>Giocattoli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'Esercizio 4'!$A$5:$A$23</c:f>
              <c:strCache>
                <c:ptCount val="18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Friuli-Venezia Giulia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Piemonte</c:v>
                </c:pt>
                <c:pt idx="11">
                  <c:v>Puglia</c:v>
                </c:pt>
                <c:pt idx="12">
                  <c:v>Sardegna</c:v>
                </c:pt>
                <c:pt idx="13">
                  <c:v>Sicilia</c:v>
                </c:pt>
                <c:pt idx="14">
                  <c:v>Toscana</c:v>
                </c:pt>
                <c:pt idx="15">
                  <c:v>Trentino-Alto Adige</c:v>
                </c:pt>
                <c:pt idx="16">
                  <c:v>Umbria</c:v>
                </c:pt>
                <c:pt idx="17">
                  <c:v>Veneto</c:v>
                </c:pt>
              </c:strCache>
            </c:strRef>
          </c:cat>
          <c:val>
            <c:numRef>
              <c:f>'Esercizio 4'!$D$5:$D$23</c:f>
              <c:numCache>
                <c:formatCode>_-"€"\ * #,##0.00_-;\-"€"\ * #,##0.00_-;_-"€"\ * "-"??_-;_-@_-</c:formatCode>
                <c:ptCount val="18"/>
                <c:pt idx="0">
                  <c:v>1724.8</c:v>
                </c:pt>
                <c:pt idx="1">
                  <c:v>855</c:v>
                </c:pt>
                <c:pt idx="2">
                  <c:v>1149.2</c:v>
                </c:pt>
                <c:pt idx="3">
                  <c:v>721.25</c:v>
                </c:pt>
                <c:pt idx="4">
                  <c:v>790.16666666666663</c:v>
                </c:pt>
                <c:pt idx="5">
                  <c:v>1327.4285714285713</c:v>
                </c:pt>
                <c:pt idx="6">
                  <c:v>953.57142857142856</c:v>
                </c:pt>
                <c:pt idx="7">
                  <c:v>1247.5</c:v>
                </c:pt>
                <c:pt idx="8">
                  <c:v>976.2</c:v>
                </c:pt>
                <c:pt idx="9">
                  <c:v>1234</c:v>
                </c:pt>
                <c:pt idx="10">
                  <c:v>783</c:v>
                </c:pt>
                <c:pt idx="11">
                  <c:v>840</c:v>
                </c:pt>
                <c:pt idx="12">
                  <c:v>1494</c:v>
                </c:pt>
                <c:pt idx="13">
                  <c:v>1045</c:v>
                </c:pt>
                <c:pt idx="14">
                  <c:v>1001.6</c:v>
                </c:pt>
                <c:pt idx="15">
                  <c:v>1774</c:v>
                </c:pt>
                <c:pt idx="16">
                  <c:v>1170.5714285714287</c:v>
                </c:pt>
                <c:pt idx="1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1-4319-B5E7-DDEC664F3089}"/>
            </c:ext>
          </c:extLst>
        </c:ser>
        <c:ser>
          <c:idx val="3"/>
          <c:order val="3"/>
          <c:tx>
            <c:strRef>
              <c:f>'Esercizio 4'!$E$3:$E$4</c:f>
              <c:strCache>
                <c:ptCount val="1"/>
                <c:pt idx="0">
                  <c:v>Informatica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'Esercizio 4'!$A$5:$A$23</c:f>
              <c:strCache>
                <c:ptCount val="18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Friuli-Venezia Giulia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Piemonte</c:v>
                </c:pt>
                <c:pt idx="11">
                  <c:v>Puglia</c:v>
                </c:pt>
                <c:pt idx="12">
                  <c:v>Sardegna</c:v>
                </c:pt>
                <c:pt idx="13">
                  <c:v>Sicilia</c:v>
                </c:pt>
                <c:pt idx="14">
                  <c:v>Toscana</c:v>
                </c:pt>
                <c:pt idx="15">
                  <c:v>Trentino-Alto Adige</c:v>
                </c:pt>
                <c:pt idx="16">
                  <c:v>Umbria</c:v>
                </c:pt>
                <c:pt idx="17">
                  <c:v>Veneto</c:v>
                </c:pt>
              </c:strCache>
            </c:strRef>
          </c:cat>
          <c:val>
            <c:numRef>
              <c:f>'Esercizio 4'!$E$5:$E$23</c:f>
              <c:numCache>
                <c:formatCode>_-"€"\ * #,##0.00_-;\-"€"\ * #,##0.00_-;_-"€"\ * "-"??_-;_-@_-</c:formatCode>
                <c:ptCount val="18"/>
                <c:pt idx="0">
                  <c:v>933.4</c:v>
                </c:pt>
                <c:pt idx="1">
                  <c:v>1897</c:v>
                </c:pt>
                <c:pt idx="2">
                  <c:v>865.81818181818187</c:v>
                </c:pt>
                <c:pt idx="3">
                  <c:v>155</c:v>
                </c:pt>
                <c:pt idx="4">
                  <c:v>1175.8571428571429</c:v>
                </c:pt>
                <c:pt idx="5">
                  <c:v>1235.75</c:v>
                </c:pt>
                <c:pt idx="6">
                  <c:v>839.6</c:v>
                </c:pt>
                <c:pt idx="7">
                  <c:v>1236.2</c:v>
                </c:pt>
                <c:pt idx="8">
                  <c:v>1008</c:v>
                </c:pt>
                <c:pt idx="9">
                  <c:v>1421.3333333333333</c:v>
                </c:pt>
                <c:pt idx="10">
                  <c:v>1524.5</c:v>
                </c:pt>
                <c:pt idx="11">
                  <c:v>662</c:v>
                </c:pt>
                <c:pt idx="12">
                  <c:v>623</c:v>
                </c:pt>
                <c:pt idx="13">
                  <c:v>1160.7272727272727</c:v>
                </c:pt>
                <c:pt idx="14">
                  <c:v>817.09090909090912</c:v>
                </c:pt>
                <c:pt idx="15">
                  <c:v>1136.5</c:v>
                </c:pt>
                <c:pt idx="16">
                  <c:v>1353.4</c:v>
                </c:pt>
                <c:pt idx="17">
                  <c:v>1303.909090909091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1-4319-B5E7-DDEC664F3089}"/>
            </c:ext>
          </c:extLst>
        </c:ser>
        <c:ser>
          <c:idx val="4"/>
          <c:order val="4"/>
          <c:tx>
            <c:strRef>
              <c:f>'Esercizio 4'!$F$3:$F$4</c:f>
              <c:strCache>
                <c:ptCount val="1"/>
                <c:pt idx="0">
                  <c:v>Libri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'Esercizio 4'!$A$5:$A$23</c:f>
              <c:strCache>
                <c:ptCount val="18"/>
                <c:pt idx="0">
                  <c:v>Abruzzo</c:v>
                </c:pt>
                <c:pt idx="1">
                  <c:v>Basilicata</c:v>
                </c:pt>
                <c:pt idx="2">
                  <c:v>Calabria</c:v>
                </c:pt>
                <c:pt idx="3">
                  <c:v>Campania</c:v>
                </c:pt>
                <c:pt idx="4">
                  <c:v>Emilia-Romagna</c:v>
                </c:pt>
                <c:pt idx="5">
                  <c:v>Friuli-Venezia Giulia</c:v>
                </c:pt>
                <c:pt idx="6">
                  <c:v>Lazio</c:v>
                </c:pt>
                <c:pt idx="7">
                  <c:v>Liguria</c:v>
                </c:pt>
                <c:pt idx="8">
                  <c:v>Lombardia</c:v>
                </c:pt>
                <c:pt idx="9">
                  <c:v>Marche</c:v>
                </c:pt>
                <c:pt idx="10">
                  <c:v>Piemonte</c:v>
                </c:pt>
                <c:pt idx="11">
                  <c:v>Puglia</c:v>
                </c:pt>
                <c:pt idx="12">
                  <c:v>Sardegna</c:v>
                </c:pt>
                <c:pt idx="13">
                  <c:v>Sicilia</c:v>
                </c:pt>
                <c:pt idx="14">
                  <c:v>Toscana</c:v>
                </c:pt>
                <c:pt idx="15">
                  <c:v>Trentino-Alto Adige</c:v>
                </c:pt>
                <c:pt idx="16">
                  <c:v>Umbria</c:v>
                </c:pt>
                <c:pt idx="17">
                  <c:v>Veneto</c:v>
                </c:pt>
              </c:strCache>
            </c:strRef>
          </c:cat>
          <c:val>
            <c:numRef>
              <c:f>'Esercizio 4'!$F$5:$F$23</c:f>
              <c:numCache>
                <c:formatCode>_-"€"\ * #,##0.00_-;\-"€"\ * #,##0.00_-;_-"€"\ * "-"??_-;_-@_-</c:formatCode>
                <c:ptCount val="18"/>
                <c:pt idx="0">
                  <c:v>947.5</c:v>
                </c:pt>
                <c:pt idx="1">
                  <c:v>1208</c:v>
                </c:pt>
                <c:pt idx="2">
                  <c:v>1041.5714285714287</c:v>
                </c:pt>
                <c:pt idx="3">
                  <c:v>1611</c:v>
                </c:pt>
                <c:pt idx="4">
                  <c:v>868.75</c:v>
                </c:pt>
                <c:pt idx="5">
                  <c:v>684.75</c:v>
                </c:pt>
                <c:pt idx="6">
                  <c:v>1114.625</c:v>
                </c:pt>
                <c:pt idx="7">
                  <c:v>1537.4285714285713</c:v>
                </c:pt>
                <c:pt idx="8">
                  <c:v>786.16666666666663</c:v>
                </c:pt>
                <c:pt idx="9">
                  <c:v>1596</c:v>
                </c:pt>
                <c:pt idx="10">
                  <c:v>892</c:v>
                </c:pt>
                <c:pt idx="11">
                  <c:v>997</c:v>
                </c:pt>
                <c:pt idx="12">
                  <c:v>908.66666666666663</c:v>
                </c:pt>
                <c:pt idx="13">
                  <c:v>702.83333333333337</c:v>
                </c:pt>
                <c:pt idx="14">
                  <c:v>1016.3333333333334</c:v>
                </c:pt>
                <c:pt idx="15">
                  <c:v>689</c:v>
                </c:pt>
                <c:pt idx="16">
                  <c:v>1138</c:v>
                </c:pt>
                <c:pt idx="17">
                  <c:v>923.44444444444446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D1-4319-B5E7-DDEC664F3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9268799"/>
        <c:axId val="1589269279"/>
      </c:barChart>
      <c:catAx>
        <c:axId val="158926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9269279"/>
        <c:crosses val="autoZero"/>
        <c:auto val="1"/>
        <c:lblAlgn val="ctr"/>
        <c:lblOffset val="100"/>
        <c:noMultiLvlLbl val="0"/>
      </c:catAx>
      <c:valAx>
        <c:axId val="158926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926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5!Tabella pivot5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5'!$B$3:$B$4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5'!$A$5:$A$11</c:f>
              <c:strCache>
                <c:ptCount val="6"/>
                <c:pt idx="0">
                  <c:v>Azzurri</c:v>
                </c:pt>
                <c:pt idx="1">
                  <c:v>Bianchi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Verdi</c:v>
                </c:pt>
              </c:strCache>
            </c:strRef>
          </c:cat>
          <c:val>
            <c:numRef>
              <c:f>'Esercizio 5'!$B$5:$B$11</c:f>
              <c:numCache>
                <c:formatCode>General</c:formatCode>
                <c:ptCount val="6"/>
                <c:pt idx="0">
                  <c:v>30</c:v>
                </c:pt>
                <c:pt idx="1">
                  <c:v>26</c:v>
                </c:pt>
                <c:pt idx="2">
                  <c:v>20</c:v>
                </c:pt>
                <c:pt idx="3">
                  <c:v>18</c:v>
                </c:pt>
                <c:pt idx="4">
                  <c:v>29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9-4429-B2C9-5AD2D4507D7D}"/>
            </c:ext>
          </c:extLst>
        </c:ser>
        <c:ser>
          <c:idx val="1"/>
          <c:order val="1"/>
          <c:tx>
            <c:strRef>
              <c:f>'Esercizio 5'!$C$3:$C$4</c:f>
              <c:strCache>
                <c:ptCount val="1"/>
                <c:pt idx="0">
                  <c:v>ISOLE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5'!$A$5:$A$11</c:f>
              <c:strCache>
                <c:ptCount val="6"/>
                <c:pt idx="0">
                  <c:v>Azzurri</c:v>
                </c:pt>
                <c:pt idx="1">
                  <c:v>Bianchi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Verdi</c:v>
                </c:pt>
              </c:strCache>
            </c:strRef>
          </c:cat>
          <c:val>
            <c:numRef>
              <c:f>'Esercizio 5'!$C$5:$C$11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9-4429-B2C9-5AD2D4507D7D}"/>
            </c:ext>
          </c:extLst>
        </c:ser>
        <c:ser>
          <c:idx val="2"/>
          <c:order val="2"/>
          <c:tx>
            <c:strRef>
              <c:f>'Esercizio 5'!$D$3:$D$4</c:f>
              <c:strCache>
                <c:ptCount val="1"/>
                <c:pt idx="0">
                  <c:v>NORD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'Esercizio 5'!$A$5:$A$11</c:f>
              <c:strCache>
                <c:ptCount val="6"/>
                <c:pt idx="0">
                  <c:v>Azzurri</c:v>
                </c:pt>
                <c:pt idx="1">
                  <c:v>Bianchi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Verdi</c:v>
                </c:pt>
              </c:strCache>
            </c:strRef>
          </c:cat>
          <c:val>
            <c:numRef>
              <c:f>'Esercizio 5'!$D$5:$D$11</c:f>
              <c:numCache>
                <c:formatCode>General</c:formatCode>
                <c:ptCount val="6"/>
                <c:pt idx="0">
                  <c:v>29</c:v>
                </c:pt>
                <c:pt idx="1">
                  <c:v>44</c:v>
                </c:pt>
                <c:pt idx="2">
                  <c:v>42</c:v>
                </c:pt>
                <c:pt idx="3">
                  <c:v>40</c:v>
                </c:pt>
                <c:pt idx="4">
                  <c:v>45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9-4429-B2C9-5AD2D4507D7D}"/>
            </c:ext>
          </c:extLst>
        </c:ser>
        <c:ser>
          <c:idx val="3"/>
          <c:order val="3"/>
          <c:tx>
            <c:strRef>
              <c:f>'Esercizio 5'!$E$3:$E$4</c:f>
              <c:strCache>
                <c:ptCount val="1"/>
                <c:pt idx="0">
                  <c:v>SUD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'Esercizio 5'!$A$5:$A$11</c:f>
              <c:strCache>
                <c:ptCount val="6"/>
                <c:pt idx="0">
                  <c:v>Azzurri</c:v>
                </c:pt>
                <c:pt idx="1">
                  <c:v>Bianchi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Verdi</c:v>
                </c:pt>
              </c:strCache>
            </c:strRef>
          </c:cat>
          <c:val>
            <c:numRef>
              <c:f>'Esercizio 5'!$E$5:$E$11</c:f>
              <c:numCache>
                <c:formatCode>General</c:formatCode>
                <c:ptCount val="6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7</c:v>
                </c:pt>
                <c:pt idx="4">
                  <c:v>14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A9-4429-B2C9-5AD2D450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32127"/>
        <c:axId val="1330332607"/>
      </c:barChart>
      <c:catAx>
        <c:axId val="13303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0332607"/>
        <c:crosses val="autoZero"/>
        <c:auto val="1"/>
        <c:lblAlgn val="ctr"/>
        <c:lblOffset val="100"/>
        <c:noMultiLvlLbl val="0"/>
      </c:catAx>
      <c:valAx>
        <c:axId val="13303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03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6!Tabella pivot14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6'!$C$18</c:f>
              <c:strCache>
                <c:ptCount val="1"/>
                <c:pt idx="0">
                  <c:v>Somma di Azzurri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6'!$C$19:$C$25</c:f>
              <c:numCache>
                <c:formatCode>General</c:formatCode>
                <c:ptCount val="6"/>
                <c:pt idx="0">
                  <c:v>18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25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1E9-4283-B01B-99831DBC901B}"/>
            </c:ext>
          </c:extLst>
        </c:ser>
        <c:ser>
          <c:idx val="1"/>
          <c:order val="1"/>
          <c:tx>
            <c:strRef>
              <c:f>'Esercizio 6'!$D$18</c:f>
              <c:strCache>
                <c:ptCount val="1"/>
                <c:pt idx="0">
                  <c:v>Somma di Bianchi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6'!$D$19:$D$25</c:f>
              <c:numCache>
                <c:formatCode>General</c:formatCode>
                <c:ptCount val="6"/>
                <c:pt idx="0">
                  <c:v>13</c:v>
                </c:pt>
                <c:pt idx="1">
                  <c:v>17</c:v>
                </c:pt>
                <c:pt idx="2">
                  <c:v>19</c:v>
                </c:pt>
                <c:pt idx="3">
                  <c:v>14</c:v>
                </c:pt>
                <c:pt idx="4">
                  <c:v>24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1E9-4283-B01B-99831DBC901B}"/>
            </c:ext>
          </c:extLst>
        </c:ser>
        <c:ser>
          <c:idx val="2"/>
          <c:order val="2"/>
          <c:tx>
            <c:strRef>
              <c:f>'Esercizio 6'!$E$18</c:f>
              <c:strCache>
                <c:ptCount val="1"/>
                <c:pt idx="0">
                  <c:v>Somma di Gialli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6'!$E$19:$E$25</c:f>
              <c:numCache>
                <c:formatCode>General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14</c:v>
                </c:pt>
                <c:pt idx="3">
                  <c:v>10</c:v>
                </c:pt>
                <c:pt idx="4">
                  <c:v>23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1E9-4283-B01B-99831DBC901B}"/>
            </c:ext>
          </c:extLst>
        </c:ser>
        <c:ser>
          <c:idx val="3"/>
          <c:order val="3"/>
          <c:tx>
            <c:strRef>
              <c:f>'Esercizio 6'!$F$18</c:f>
              <c:strCache>
                <c:ptCount val="1"/>
                <c:pt idx="0">
                  <c:v>Somma di Neri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6'!$F$19:$F$25</c:f>
              <c:numCache>
                <c:formatCode>General</c:formatCode>
                <c:ptCount val="6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12</c:v>
                </c:pt>
                <c:pt idx="4">
                  <c:v>16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1E9-4283-B01B-99831DBC901B}"/>
            </c:ext>
          </c:extLst>
        </c:ser>
        <c:ser>
          <c:idx val="4"/>
          <c:order val="4"/>
          <c:tx>
            <c:strRef>
              <c:f>'Esercizio 6'!$G$18</c:f>
              <c:strCache>
                <c:ptCount val="1"/>
                <c:pt idx="0">
                  <c:v>Somma di Rossi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6'!$G$19:$G$25</c:f>
              <c:numCache>
                <c:formatCode>General</c:formatCode>
                <c:ptCount val="6"/>
                <c:pt idx="0">
                  <c:v>14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21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1E9-4283-B01B-99831DBC901B}"/>
            </c:ext>
          </c:extLst>
        </c:ser>
        <c:ser>
          <c:idx val="5"/>
          <c:order val="5"/>
          <c:tx>
            <c:strRef>
              <c:f>'Esercizio 6'!$H$18</c:f>
              <c:strCache>
                <c:ptCount val="1"/>
                <c:pt idx="0">
                  <c:v>Somma di Verdi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'Esercizio 6'!$B$19:$B$25</c:f>
              <c:strCache>
                <c:ptCount val="6"/>
                <c:pt idx="0">
                  <c:v>Fascia 1 (inferiore a 400 €)</c:v>
                </c:pt>
                <c:pt idx="1">
                  <c:v>Fascia 2 (da 400 €  a meno di 800 €)</c:v>
                </c:pt>
                <c:pt idx="2">
                  <c:v>Fascia 3 (da 800 €  a meno di 1200 €)</c:v>
                </c:pt>
                <c:pt idx="3">
                  <c:v>Fascia 4 (da 1200 €  a meno di 1500 €)</c:v>
                </c:pt>
                <c:pt idx="4">
                  <c:v>Fascia 5 (da 1500 € e oltre)</c:v>
                </c:pt>
                <c:pt idx="5">
                  <c:v>Totale complessivo</c:v>
                </c:pt>
              </c:strCache>
            </c:strRef>
          </c:cat>
          <c:val>
            <c:numRef>
              <c:f>'Esercizio 6'!$H$19:$H$25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16</c:v>
                </c:pt>
                <c:pt idx="4">
                  <c:v>23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1E9-4283-B01B-99831DBC9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607567"/>
        <c:axId val="1331608047"/>
      </c:barChart>
      <c:catAx>
        <c:axId val="1331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608047"/>
        <c:crosses val="autoZero"/>
        <c:auto val="1"/>
        <c:lblAlgn val="ctr"/>
        <c:lblOffset val="100"/>
        <c:noMultiLvlLbl val="0"/>
      </c:catAx>
      <c:valAx>
        <c:axId val="13316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6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7!Tabella pivot8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7'!$B$3:$B$4</c:f>
              <c:strCache>
                <c:ptCount val="1"/>
                <c:pt idx="0">
                  <c:v>Cancelleria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'Esercizio 7'!$A$5:$A$27</c:f>
              <c:multiLvlStrCache>
                <c:ptCount val="18"/>
                <c:lvl>
                  <c:pt idx="0">
                    <c:v>Abruzzo</c:v>
                  </c:pt>
                  <c:pt idx="1">
                    <c:v>Lazio</c:v>
                  </c:pt>
                  <c:pt idx="2">
                    <c:v>Marche</c:v>
                  </c:pt>
                  <c:pt idx="3">
                    <c:v>Toscana</c:v>
                  </c:pt>
                  <c:pt idx="4">
                    <c:v>Umbria</c:v>
                  </c:pt>
                  <c:pt idx="5">
                    <c:v>Sardegna</c:v>
                  </c:pt>
                  <c:pt idx="6">
                    <c:v>Sicilia</c:v>
                  </c:pt>
                  <c:pt idx="7">
                    <c:v>Emilia-Romagna</c:v>
                  </c:pt>
                  <c:pt idx="8">
                    <c:v>Friuli-Venezia Giulia</c:v>
                  </c:pt>
                  <c:pt idx="9">
                    <c:v>Liguria</c:v>
                  </c:pt>
                  <c:pt idx="10">
                    <c:v>Lombardia</c:v>
                  </c:pt>
                  <c:pt idx="11">
                    <c:v>Piemonte</c:v>
                  </c:pt>
                  <c:pt idx="12">
                    <c:v>Trentino-Alto Adige</c:v>
                  </c:pt>
                  <c:pt idx="13">
                    <c:v>Veneto</c:v>
                  </c:pt>
                  <c:pt idx="14">
                    <c:v>Basilicata</c:v>
                  </c:pt>
                  <c:pt idx="15">
                    <c:v>Calabria</c:v>
                  </c:pt>
                  <c:pt idx="16">
                    <c:v>Campania</c:v>
                  </c:pt>
                  <c:pt idx="17">
                    <c:v>Puglia</c:v>
                  </c:pt>
                </c:lvl>
                <c:lvl>
                  <c:pt idx="0">
                    <c:v>CENTRO</c:v>
                  </c:pt>
                  <c:pt idx="5">
                    <c:v>ISOLE</c:v>
                  </c:pt>
                  <c:pt idx="7">
                    <c:v>NORD</c:v>
                  </c:pt>
                  <c:pt idx="14">
                    <c:v>SUD</c:v>
                  </c:pt>
                </c:lvl>
              </c:multiLvlStrCache>
            </c:multiLvlStrRef>
          </c:cat>
          <c:val>
            <c:numRef>
              <c:f>'Esercizio 7'!$B$5:$B$27</c:f>
              <c:numCache>
                <c:formatCode>_-"€"\ * #,##0.00_-;\-"€"\ * #,##0.00_-;_-"€"\ * "-"??_-;_-@_-</c:formatCode>
                <c:ptCount val="18"/>
                <c:pt idx="0">
                  <c:v>1452</c:v>
                </c:pt>
                <c:pt idx="1">
                  <c:v>7906</c:v>
                </c:pt>
                <c:pt idx="2">
                  <c:v>3098</c:v>
                </c:pt>
                <c:pt idx="3">
                  <c:v>12959</c:v>
                </c:pt>
                <c:pt idx="4">
                  <c:v>8010</c:v>
                </c:pt>
                <c:pt idx="5">
                  <c:v>3137</c:v>
                </c:pt>
                <c:pt idx="6">
                  <c:v>6940</c:v>
                </c:pt>
                <c:pt idx="7">
                  <c:v>13524</c:v>
                </c:pt>
                <c:pt idx="8">
                  <c:v>3188</c:v>
                </c:pt>
                <c:pt idx="9">
                  <c:v>2986</c:v>
                </c:pt>
                <c:pt idx="10">
                  <c:v>8313</c:v>
                </c:pt>
                <c:pt idx="11">
                  <c:v>4793</c:v>
                </c:pt>
                <c:pt idx="12">
                  <c:v>2056</c:v>
                </c:pt>
                <c:pt idx="13">
                  <c:v>9525</c:v>
                </c:pt>
                <c:pt idx="14">
                  <c:v>2294</c:v>
                </c:pt>
                <c:pt idx="15">
                  <c:v>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1-4068-B551-B947A4A16EA2}"/>
            </c:ext>
          </c:extLst>
        </c:ser>
        <c:ser>
          <c:idx val="1"/>
          <c:order val="1"/>
          <c:tx>
            <c:strRef>
              <c:f>'Esercizio 7'!$C$3:$C$4</c:f>
              <c:strCache>
                <c:ptCount val="1"/>
                <c:pt idx="0">
                  <c:v>Informatica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'Esercizio 7'!$A$5:$A$27</c:f>
              <c:multiLvlStrCache>
                <c:ptCount val="18"/>
                <c:lvl>
                  <c:pt idx="0">
                    <c:v>Abruzzo</c:v>
                  </c:pt>
                  <c:pt idx="1">
                    <c:v>Lazio</c:v>
                  </c:pt>
                  <c:pt idx="2">
                    <c:v>Marche</c:v>
                  </c:pt>
                  <c:pt idx="3">
                    <c:v>Toscana</c:v>
                  </c:pt>
                  <c:pt idx="4">
                    <c:v>Umbria</c:v>
                  </c:pt>
                  <c:pt idx="5">
                    <c:v>Sardegna</c:v>
                  </c:pt>
                  <c:pt idx="6">
                    <c:v>Sicilia</c:v>
                  </c:pt>
                  <c:pt idx="7">
                    <c:v>Emilia-Romagna</c:v>
                  </c:pt>
                  <c:pt idx="8">
                    <c:v>Friuli-Venezia Giulia</c:v>
                  </c:pt>
                  <c:pt idx="9">
                    <c:v>Liguria</c:v>
                  </c:pt>
                  <c:pt idx="10">
                    <c:v>Lombardia</c:v>
                  </c:pt>
                  <c:pt idx="11">
                    <c:v>Piemonte</c:v>
                  </c:pt>
                  <c:pt idx="12">
                    <c:v>Trentino-Alto Adige</c:v>
                  </c:pt>
                  <c:pt idx="13">
                    <c:v>Veneto</c:v>
                  </c:pt>
                  <c:pt idx="14">
                    <c:v>Basilicata</c:v>
                  </c:pt>
                  <c:pt idx="15">
                    <c:v>Calabria</c:v>
                  </c:pt>
                  <c:pt idx="16">
                    <c:v>Campania</c:v>
                  </c:pt>
                  <c:pt idx="17">
                    <c:v>Puglia</c:v>
                  </c:pt>
                </c:lvl>
                <c:lvl>
                  <c:pt idx="0">
                    <c:v>CENTRO</c:v>
                  </c:pt>
                  <c:pt idx="5">
                    <c:v>ISOLE</c:v>
                  </c:pt>
                  <c:pt idx="7">
                    <c:v>NORD</c:v>
                  </c:pt>
                  <c:pt idx="14">
                    <c:v>SUD</c:v>
                  </c:pt>
                </c:lvl>
              </c:multiLvlStrCache>
            </c:multiLvlStrRef>
          </c:cat>
          <c:val>
            <c:numRef>
              <c:f>'Esercizio 7'!$C$5:$C$27</c:f>
              <c:numCache>
                <c:formatCode>_-"€"\ * #,##0.00_-;\-"€"\ * #,##0.00_-;_-"€"\ * "-"??_-;_-@_-</c:formatCode>
                <c:ptCount val="18"/>
                <c:pt idx="0">
                  <c:v>4667</c:v>
                </c:pt>
                <c:pt idx="1">
                  <c:v>4198</c:v>
                </c:pt>
                <c:pt idx="2">
                  <c:v>4264</c:v>
                </c:pt>
                <c:pt idx="3">
                  <c:v>8988</c:v>
                </c:pt>
                <c:pt idx="4">
                  <c:v>6767</c:v>
                </c:pt>
                <c:pt idx="5">
                  <c:v>1869</c:v>
                </c:pt>
                <c:pt idx="6">
                  <c:v>12768</c:v>
                </c:pt>
                <c:pt idx="7">
                  <c:v>8231</c:v>
                </c:pt>
                <c:pt idx="8">
                  <c:v>4943</c:v>
                </c:pt>
                <c:pt idx="9">
                  <c:v>6181</c:v>
                </c:pt>
                <c:pt idx="10">
                  <c:v>1008</c:v>
                </c:pt>
                <c:pt idx="11">
                  <c:v>3049</c:v>
                </c:pt>
                <c:pt idx="12">
                  <c:v>2273</c:v>
                </c:pt>
                <c:pt idx="13">
                  <c:v>14343</c:v>
                </c:pt>
                <c:pt idx="14">
                  <c:v>1897</c:v>
                </c:pt>
                <c:pt idx="15">
                  <c:v>9524</c:v>
                </c:pt>
                <c:pt idx="16">
                  <c:v>155</c:v>
                </c:pt>
                <c:pt idx="17">
                  <c:v>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1-4068-B551-B947A4A16EA2}"/>
            </c:ext>
          </c:extLst>
        </c:ser>
        <c:ser>
          <c:idx val="2"/>
          <c:order val="2"/>
          <c:tx>
            <c:strRef>
              <c:f>'Esercizio 7'!$D$3:$D$4</c:f>
              <c:strCache>
                <c:ptCount val="1"/>
                <c:pt idx="0">
                  <c:v>Libri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'Esercizio 7'!$A$5:$A$27</c:f>
              <c:multiLvlStrCache>
                <c:ptCount val="18"/>
                <c:lvl>
                  <c:pt idx="0">
                    <c:v>Abruzzo</c:v>
                  </c:pt>
                  <c:pt idx="1">
                    <c:v>Lazio</c:v>
                  </c:pt>
                  <c:pt idx="2">
                    <c:v>Marche</c:v>
                  </c:pt>
                  <c:pt idx="3">
                    <c:v>Toscana</c:v>
                  </c:pt>
                  <c:pt idx="4">
                    <c:v>Umbria</c:v>
                  </c:pt>
                  <c:pt idx="5">
                    <c:v>Sardegna</c:v>
                  </c:pt>
                  <c:pt idx="6">
                    <c:v>Sicilia</c:v>
                  </c:pt>
                  <c:pt idx="7">
                    <c:v>Emilia-Romagna</c:v>
                  </c:pt>
                  <c:pt idx="8">
                    <c:v>Friuli-Venezia Giulia</c:v>
                  </c:pt>
                  <c:pt idx="9">
                    <c:v>Liguria</c:v>
                  </c:pt>
                  <c:pt idx="10">
                    <c:v>Lombardia</c:v>
                  </c:pt>
                  <c:pt idx="11">
                    <c:v>Piemonte</c:v>
                  </c:pt>
                  <c:pt idx="12">
                    <c:v>Trentino-Alto Adige</c:v>
                  </c:pt>
                  <c:pt idx="13">
                    <c:v>Veneto</c:v>
                  </c:pt>
                  <c:pt idx="14">
                    <c:v>Basilicata</c:v>
                  </c:pt>
                  <c:pt idx="15">
                    <c:v>Calabria</c:v>
                  </c:pt>
                  <c:pt idx="16">
                    <c:v>Campania</c:v>
                  </c:pt>
                  <c:pt idx="17">
                    <c:v>Puglia</c:v>
                  </c:pt>
                </c:lvl>
                <c:lvl>
                  <c:pt idx="0">
                    <c:v>CENTRO</c:v>
                  </c:pt>
                  <c:pt idx="5">
                    <c:v>ISOLE</c:v>
                  </c:pt>
                  <c:pt idx="7">
                    <c:v>NORD</c:v>
                  </c:pt>
                  <c:pt idx="14">
                    <c:v>SUD</c:v>
                  </c:pt>
                </c:lvl>
              </c:multiLvlStrCache>
            </c:multiLvlStrRef>
          </c:cat>
          <c:val>
            <c:numRef>
              <c:f>'Esercizio 7'!$D$5:$D$27</c:f>
              <c:numCache>
                <c:formatCode>_-"€"\ * #,##0.00_-;\-"€"\ * #,##0.00_-;_-"€"\ * "-"??_-;_-@_-</c:formatCode>
                <c:ptCount val="18"/>
                <c:pt idx="0">
                  <c:v>5685</c:v>
                </c:pt>
                <c:pt idx="1">
                  <c:v>8917</c:v>
                </c:pt>
                <c:pt idx="2">
                  <c:v>1596</c:v>
                </c:pt>
                <c:pt idx="3">
                  <c:v>9147</c:v>
                </c:pt>
                <c:pt idx="4">
                  <c:v>4552</c:v>
                </c:pt>
                <c:pt idx="5">
                  <c:v>2726</c:v>
                </c:pt>
                <c:pt idx="6">
                  <c:v>4217</c:v>
                </c:pt>
                <c:pt idx="7">
                  <c:v>10425</c:v>
                </c:pt>
                <c:pt idx="8">
                  <c:v>2739</c:v>
                </c:pt>
                <c:pt idx="9">
                  <c:v>10762</c:v>
                </c:pt>
                <c:pt idx="10">
                  <c:v>4717</c:v>
                </c:pt>
                <c:pt idx="11">
                  <c:v>10704</c:v>
                </c:pt>
                <c:pt idx="12">
                  <c:v>689</c:v>
                </c:pt>
                <c:pt idx="13">
                  <c:v>8311</c:v>
                </c:pt>
                <c:pt idx="14">
                  <c:v>2416</c:v>
                </c:pt>
                <c:pt idx="15">
                  <c:v>7291</c:v>
                </c:pt>
                <c:pt idx="16">
                  <c:v>8055</c:v>
                </c:pt>
                <c:pt idx="17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1-4068-B551-B947A4A1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746703"/>
        <c:axId val="1337746223"/>
      </c:barChart>
      <c:catAx>
        <c:axId val="13377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46223"/>
        <c:crosses val="autoZero"/>
        <c:auto val="1"/>
        <c:lblAlgn val="ctr"/>
        <c:lblOffset val="100"/>
        <c:noMultiLvlLbl val="0"/>
      </c:catAx>
      <c:valAx>
        <c:axId val="13377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[Esercizio1TabellaPivotCOMPLETATO.xlsx]Esercizio 8!Tabella pivot9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8'!$B$3</c:f>
              <c:strCache>
                <c:ptCount val="1"/>
                <c:pt idx="0">
                  <c:v>% rispetto al fatturato complessivo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8'!$A$4:$A$9</c:f>
              <c:strCache>
                <c:ptCount val="5"/>
                <c:pt idx="0">
                  <c:v>Contanti</c:v>
                </c:pt>
                <c:pt idx="1">
                  <c:v>Carta di credito</c:v>
                </c:pt>
                <c:pt idx="2">
                  <c:v>Bonifico Bancario</c:v>
                </c:pt>
                <c:pt idx="3">
                  <c:v>Bollettino postale</c:v>
                </c:pt>
                <c:pt idx="4">
                  <c:v>Assegno Bancario</c:v>
                </c:pt>
              </c:strCache>
            </c:strRef>
          </c:cat>
          <c:val>
            <c:numRef>
              <c:f>'Esercizio 8'!$B$4:$B$9</c:f>
              <c:numCache>
                <c:formatCode>0.00%</c:formatCode>
                <c:ptCount val="5"/>
                <c:pt idx="0">
                  <c:v>0.17743349214449608</c:v>
                </c:pt>
                <c:pt idx="1">
                  <c:v>0.2406378676971862</c:v>
                </c:pt>
                <c:pt idx="2">
                  <c:v>0.18649663613804496</c:v>
                </c:pt>
                <c:pt idx="3">
                  <c:v>0.18610512701646675</c:v>
                </c:pt>
                <c:pt idx="4">
                  <c:v>0.20932687700380601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A-4A23-8EF4-6B7A9619196A}"/>
            </c:ext>
          </c:extLst>
        </c:ser>
        <c:ser>
          <c:idx val="1"/>
          <c:order val="1"/>
          <c:tx>
            <c:strRef>
              <c:f>'Esercizio 8'!$C$3</c:f>
              <c:strCache>
                <c:ptCount val="1"/>
                <c:pt idx="0">
                  <c:v>% rispetto al numero di vendite complessivo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'Esercizio 8'!$A$4:$A$9</c:f>
              <c:strCache>
                <c:ptCount val="5"/>
                <c:pt idx="0">
                  <c:v>Contanti</c:v>
                </c:pt>
                <c:pt idx="1">
                  <c:v>Carta di credito</c:v>
                </c:pt>
                <c:pt idx="2">
                  <c:v>Bonifico Bancario</c:v>
                </c:pt>
                <c:pt idx="3">
                  <c:v>Bollettino postale</c:v>
                </c:pt>
                <c:pt idx="4">
                  <c:v>Assegno Bancario</c:v>
                </c:pt>
              </c:strCache>
            </c:strRef>
          </c:cat>
          <c:val>
            <c:numRef>
              <c:f>'Esercizio 8'!$C$4:$C$9</c:f>
              <c:numCache>
                <c:formatCode>0.00%</c:formatCode>
                <c:ptCount val="5"/>
                <c:pt idx="0">
                  <c:v>0.19400000000000001</c:v>
                </c:pt>
                <c:pt idx="1">
                  <c:v>0.222</c:v>
                </c:pt>
                <c:pt idx="2">
                  <c:v>0.186</c:v>
                </c:pt>
                <c:pt idx="3">
                  <c:v>0.182</c:v>
                </c:pt>
                <c:pt idx="4">
                  <c:v>0.216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A-4A23-8EF4-6B7A9619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864191"/>
        <c:axId val="1324868991"/>
      </c:barChart>
      <c:catAx>
        <c:axId val="13248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4868991"/>
        <c:crosses val="autoZero"/>
        <c:auto val="1"/>
        <c:lblAlgn val="ctr"/>
        <c:lblOffset val="100"/>
        <c:noMultiLvlLbl val="0"/>
      </c:catAx>
      <c:valAx>
        <c:axId val="13248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486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12</xdr:row>
      <xdr:rowOff>87630</xdr:rowOff>
    </xdr:from>
    <xdr:to>
      <xdr:col>11</xdr:col>
      <xdr:colOff>662940</xdr:colOff>
      <xdr:row>27</xdr:row>
      <xdr:rowOff>87630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FF4B19B-12E5-9744-1514-167B97D0C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1</xdr:row>
      <xdr:rowOff>57150</xdr:rowOff>
    </xdr:from>
    <xdr:to>
      <xdr:col>12</xdr:col>
      <xdr:colOff>60960</xdr:colOff>
      <xdr:row>16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33ABF6-A471-AECE-314C-E23554453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1203960</xdr:colOff>
      <xdr:row>13</xdr:row>
      <xdr:rowOff>129540</xdr:rowOff>
    </xdr:from>
    <xdr:to>
      <xdr:col>6</xdr:col>
      <xdr:colOff>922020</xdr:colOff>
      <xdr:row>29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7001C7-62F0-0442-707B-DDF920C18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1</xdr:row>
      <xdr:rowOff>114300</xdr:rowOff>
    </xdr:from>
    <xdr:to>
      <xdr:col>15</xdr:col>
      <xdr:colOff>381000</xdr:colOff>
      <xdr:row>19</xdr:row>
      <xdr:rowOff>64770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6316C11-0F0F-D1A7-83FE-A85275359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1</xdr:row>
      <xdr:rowOff>11430</xdr:rowOff>
    </xdr:from>
    <xdr:to>
      <xdr:col>15</xdr:col>
      <xdr:colOff>137160</xdr:colOff>
      <xdr:row>16</xdr:row>
      <xdr:rowOff>11430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DD8CCFC-0711-A988-4C0D-E242C32C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1965960</xdr:colOff>
      <xdr:row>11</xdr:row>
      <xdr:rowOff>133350</xdr:rowOff>
    </xdr:from>
    <xdr:to>
      <xdr:col>8</xdr:col>
      <xdr:colOff>274320</xdr:colOff>
      <xdr:row>27</xdr:row>
      <xdr:rowOff>144780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F9BEF5-10AB-15DA-9EA5-6095D6D7D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2</xdr:row>
      <xdr:rowOff>76200</xdr:rowOff>
    </xdr:from>
    <xdr:to>
      <xdr:col>14</xdr:col>
      <xdr:colOff>129540</xdr:colOff>
      <xdr:row>21</xdr:row>
      <xdr:rowOff>148590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681BC57-2D04-E181-2B4F-AC813F90F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1470660</xdr:colOff>
      <xdr:row>4</xdr:row>
      <xdr:rowOff>3810</xdr:rowOff>
    </xdr:from>
    <xdr:to>
      <xdr:col>5</xdr:col>
      <xdr:colOff>45720</xdr:colOff>
      <xdr:row>19</xdr:row>
      <xdr:rowOff>3810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2F113F6-0ABE-4AF0-9419-F084D4679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4722222" createdVersion="8" refreshedVersion="8" minRefreshableVersion="3" recordCount="500" xr:uid="{99872607-7736-4CCB-A2E4-3A7D77B22240}">
  <cacheSource type="worksheet">
    <worksheetSource ref="B1:L501" sheet="Vendite"/>
  </cacheSource>
  <cacheFields count="11">
    <cacheField name="data" numFmtId="14">
      <sharedItems containsSemiMixedTypes="0" containsNonDate="0" containsDate="1" containsString="0" minDate="2014-01-01T00:00:00" maxDate="2014-07-01T00:00:00"/>
    </cacheField>
    <cacheField name="Venditore" numFmtId="0">
      <sharedItems count="6">
        <s v="Neri"/>
        <s v="Bianchi"/>
        <s v="Azzurri"/>
        <s v="Rossi"/>
        <s v="Verdi"/>
        <s v="Gialli"/>
      </sharedItems>
    </cacheField>
    <cacheField name="Provincia" numFmtId="0">
      <sharedItems/>
    </cacheField>
    <cacheField name="Settore" numFmtId="0">
      <sharedItems/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Regione" numFmtId="0">
      <sharedItems/>
    </cacheField>
    <cacheField name="Sigla" numFmtId="0">
      <sharedItems/>
    </cacheField>
    <cacheField name="Zona" numFmtId="0">
      <sharedItems/>
    </cacheField>
    <cacheField name="Vedite" numFmtId="0">
      <sharedItems containsSemiMixedTypes="0" containsString="0" containsNumber="1" containsInteger="1" minValue="70" maxValue="96"/>
    </cacheField>
    <cacheField name="Fascia d'importo" numFmtId="0">
      <sharedItems containsMixedTypes="1" containsNumber="1" containsInteger="1" minValue="1" maxValue="5" count="10">
        <s v="Fascia 1 (inferiore a 400 €)"/>
        <s v="Fascia 4 (da 1200 €  a meno di 1500 €)"/>
        <s v="Fascia 3 (da 800 €  a meno di 1200 €)"/>
        <s v="Fascia 2 (da 400 €  a meno di 800 €)"/>
        <s v="Fascia 5 (da 1500 € e oltre)"/>
        <n v="1" u="1"/>
        <n v="4" u="1"/>
        <n v="3" u="1"/>
        <n v="2" u="1"/>
        <n v="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4953707" createdVersion="8" refreshedVersion="8" minRefreshableVersion="3" recordCount="500" xr:uid="{74ECA43B-E285-4FEA-9C8C-952E9EB0CFF3}">
  <cacheSource type="worksheet">
    <worksheetSource ref="A1:G501" sheet="Vendite"/>
  </cacheSource>
  <cacheFields count="9">
    <cacheField name="ID Vendita" numFmtId="0">
      <sharedItems containsSemiMixedTypes="0" containsString="0" containsNumber="1" containsInteger="1" minValue="1" maxValue="500"/>
    </cacheField>
    <cacheField name="data" numFmtId="14">
      <sharedItems containsSemiMixedTypes="0" containsNonDate="0" containsDate="1" containsString="0" minDate="2014-01-01T00:00:00" maxDate="2014-07-01T00:00:00" count="169">
        <d v="2014-03-21T00:00:00"/>
        <d v="2014-03-16T00:00:00"/>
        <d v="2014-02-24T00:00:00"/>
        <d v="2014-06-20T00:00:00"/>
        <d v="2014-01-24T00:00:00"/>
        <d v="2014-03-03T00:00:00"/>
        <d v="2014-04-09T00:00:00"/>
        <d v="2014-04-13T00:00:00"/>
        <d v="2014-04-25T00:00:00"/>
        <d v="2014-03-24T00:00:00"/>
        <d v="2014-05-25T00:00:00"/>
        <d v="2014-05-15T00:00:00"/>
        <d v="2014-05-18T00:00:00"/>
        <d v="2014-01-02T00:00:00"/>
        <d v="2014-03-14T00:00:00"/>
        <d v="2014-02-05T00:00:00"/>
        <d v="2014-05-21T00:00:00"/>
        <d v="2014-03-22T00:00:00"/>
        <d v="2014-04-05T00:00:00"/>
        <d v="2014-04-11T00:00:00"/>
        <d v="2014-01-03T00:00:00"/>
        <d v="2014-06-26T00:00:00"/>
        <d v="2014-05-22T00:00:00"/>
        <d v="2014-01-30T00:00:00"/>
        <d v="2014-06-11T00:00:00"/>
        <d v="2014-03-30T00:00:00"/>
        <d v="2014-05-27T00:00:00"/>
        <d v="2014-06-08T00:00:00"/>
        <d v="2014-04-04T00:00:00"/>
        <d v="2014-05-07T00:00:00"/>
        <d v="2014-01-23T00:00:00"/>
        <d v="2014-05-24T00:00:00"/>
        <d v="2014-03-31T00:00:00"/>
        <d v="2014-05-06T00:00:00"/>
        <d v="2014-03-13T00:00:00"/>
        <d v="2014-05-12T00:00:00"/>
        <d v="2014-03-19T00:00:00"/>
        <d v="2014-06-21T00:00:00"/>
        <d v="2014-03-18T00:00:00"/>
        <d v="2014-01-21T00:00:00"/>
        <d v="2014-05-28T00:00:00"/>
        <d v="2014-04-10T00:00:00"/>
        <d v="2014-03-01T00:00:00"/>
        <d v="2014-04-21T00:00:00"/>
        <d v="2014-02-11T00:00:00"/>
        <d v="2014-01-29T00:00:00"/>
        <d v="2014-03-23T00:00:00"/>
        <d v="2014-06-06T00:00:00"/>
        <d v="2014-01-04T00:00:00"/>
        <d v="2014-06-15T00:00:00"/>
        <d v="2014-01-18T00:00:00"/>
        <d v="2014-02-01T00:00:00"/>
        <d v="2014-04-15T00:00:00"/>
        <d v="2014-04-16T00:00:00"/>
        <d v="2014-02-04T00:00:00"/>
        <d v="2014-03-26T00:00:00"/>
        <d v="2014-03-02T00:00:00"/>
        <d v="2014-01-20T00:00:00"/>
        <d v="2014-06-02T00:00:00"/>
        <d v="2014-06-12T00:00:00"/>
        <d v="2014-05-03T00:00:00"/>
        <d v="2014-03-17T00:00:00"/>
        <d v="2014-02-07T00:00:00"/>
        <d v="2014-06-22T00:00:00"/>
        <d v="2014-03-25T00:00:00"/>
        <d v="2014-01-22T00:00:00"/>
        <d v="2014-04-14T00:00:00"/>
        <d v="2014-02-13T00:00:00"/>
        <d v="2014-04-20T00:00:00"/>
        <d v="2014-01-07T00:00:00"/>
        <d v="2014-06-28T00:00:00"/>
        <d v="2014-01-12T00:00:00"/>
        <d v="2014-03-15T00:00:00"/>
        <d v="2014-01-10T00:00:00"/>
        <d v="2014-01-11T00:00:00"/>
        <d v="2014-05-19T00:00:00"/>
        <d v="2014-02-26T00:00:00"/>
        <d v="2014-02-16T00:00:00"/>
        <d v="2014-02-28T00:00:00"/>
        <d v="2014-05-10T00:00:00"/>
        <d v="2014-06-17T00:00:00"/>
        <d v="2014-02-10T00:00:00"/>
        <d v="2014-03-28T00:00:00"/>
        <d v="2014-06-03T00:00:00"/>
        <d v="2014-01-14T00:00:00"/>
        <d v="2014-04-02T00:00:00"/>
        <d v="2014-04-26T00:00:00"/>
        <d v="2014-02-08T00:00:00"/>
        <d v="2014-06-04T00:00:00"/>
        <d v="2014-05-16T00:00:00"/>
        <d v="2014-06-10T00:00:00"/>
        <d v="2014-02-25T00:00:00"/>
        <d v="2014-06-29T00:00:00"/>
        <d v="2014-01-08T00:00:00"/>
        <d v="2014-05-31T00:00:00"/>
        <d v="2014-05-26T00:00:00"/>
        <d v="2014-03-04T00:00:00"/>
        <d v="2014-03-27T00:00:00"/>
        <d v="2014-01-13T00:00:00"/>
        <d v="2014-01-17T00:00:00"/>
        <d v="2014-05-13T00:00:00"/>
        <d v="2014-02-12T00:00:00"/>
        <d v="2014-04-24T00:00:00"/>
        <d v="2014-06-14T00:00:00"/>
        <d v="2014-06-09T00:00:00"/>
        <d v="2014-02-06T00:00:00"/>
        <d v="2014-03-08T00:00:00"/>
        <d v="2014-02-27T00:00:00"/>
        <d v="2014-03-10T00:00:00"/>
        <d v="2014-02-15T00:00:00"/>
        <d v="2014-03-06T00:00:00"/>
        <d v="2014-05-17T00:00:00"/>
        <d v="2014-01-28T00:00:00"/>
        <d v="2014-04-29T00:00:00"/>
        <d v="2014-06-27T00:00:00"/>
        <d v="2014-01-26T00:00:00"/>
        <d v="2014-06-25T00:00:00"/>
        <d v="2014-02-17T00:00:00"/>
        <d v="2014-02-23T00:00:00"/>
        <d v="2014-02-02T00:00:00"/>
        <d v="2014-01-06T00:00:00"/>
        <d v="2014-06-05T00:00:00"/>
        <d v="2014-01-05T00:00:00"/>
        <d v="2014-03-07T00:00:00"/>
        <d v="2014-02-22T00:00:00"/>
        <d v="2014-02-09T00:00:00"/>
        <d v="2014-04-07T00:00:00"/>
        <d v="2014-04-18T00:00:00"/>
        <d v="2014-01-31T00:00:00"/>
        <d v="2014-02-18T00:00:00"/>
        <d v="2014-04-30T00:00:00"/>
        <d v="2014-05-29T00:00:00"/>
        <d v="2014-04-28T00:00:00"/>
        <d v="2014-04-23T00:00:00"/>
        <d v="2014-05-09T00:00:00"/>
        <d v="2014-04-01T00:00:00"/>
        <d v="2014-04-17T00:00:00"/>
        <d v="2014-05-11T00:00:00"/>
        <d v="2014-06-24T00:00:00"/>
        <d v="2014-03-05T00:00:00"/>
        <d v="2014-01-15T00:00:00"/>
        <d v="2014-05-05T00:00:00"/>
        <d v="2014-02-20T00:00:00"/>
        <d v="2014-01-27T00:00:00"/>
        <d v="2014-05-23T00:00:00"/>
        <d v="2014-04-19T00:00:00"/>
        <d v="2014-01-01T00:00:00"/>
        <d v="2014-01-19T00:00:00"/>
        <d v="2014-01-16T00:00:00"/>
        <d v="2014-06-01T00:00:00"/>
        <d v="2014-02-14T00:00:00"/>
        <d v="2014-05-04T00:00:00"/>
        <d v="2014-06-19T00:00:00"/>
        <d v="2014-04-27T00:00:00"/>
        <d v="2014-06-13T00:00:00"/>
        <d v="2014-05-01T00:00:00"/>
        <d v="2014-04-03T00:00:00"/>
        <d v="2014-06-23T00:00:00"/>
        <d v="2014-03-29T00:00:00"/>
        <d v="2014-02-19T00:00:00"/>
        <d v="2014-04-12T00:00:00"/>
        <d v="2014-04-22T00:00:00"/>
        <d v="2014-03-09T00:00:00"/>
        <d v="2014-06-07T00:00:00"/>
        <d v="2014-05-02T00:00:00"/>
        <d v="2014-06-30T00:00:00"/>
        <d v="2014-05-20T00:00:00"/>
        <d v="2014-02-21T00:00:00"/>
        <d v="2014-03-20T00:00:00"/>
      </sharedItems>
      <fieldGroup par="8"/>
    </cacheField>
    <cacheField name="Venditore" numFmtId="0">
      <sharedItems count="6">
        <s v="Neri"/>
        <s v="Bianchi"/>
        <s v="Azzurri"/>
        <s v="Rossi"/>
        <s v="Verdi"/>
        <s v="Gialli"/>
      </sharedItems>
    </cacheField>
    <cacheField name="Provincia" numFmtId="0">
      <sharedItems count="41">
        <s v="Piacenza"/>
        <s v="Pistoia"/>
        <s v="Verbano-Cusio-Ossola"/>
        <s v="Ravenna"/>
        <s v="Pisa"/>
        <s v="Vercelli"/>
        <s v="Sassari"/>
        <s v="Trieste"/>
        <s v="Rimini"/>
        <s v="Siena"/>
        <s v="Potenza"/>
        <s v="Reggio nell'Emilia"/>
        <s v="Treviso"/>
        <s v="Pavia"/>
        <s v="Savona"/>
        <s v="Venezia"/>
        <s v="Verona"/>
        <s v="Rovigo"/>
        <s v="Trapani"/>
        <s v="Sondrio"/>
        <s v="Vicenza"/>
        <s v="Pesaro e Urbino"/>
        <s v="Trento"/>
        <s v="Viterbo"/>
        <s v="Torino"/>
        <s v="Salerno"/>
        <s v="Ragusa"/>
        <s v="Vibo Valentia"/>
        <s v="Terni"/>
        <s v="Prato"/>
        <s v="Reggio di Calabria"/>
        <s v="Teramo"/>
        <s v="Perugia"/>
        <s v="Pordenone"/>
        <s v="Udine"/>
        <s v="Varese"/>
        <s v="Roma"/>
        <s v="Siracusa"/>
        <s v="Rieti"/>
        <s v="Pescara"/>
        <s v="Taranto"/>
      </sharedItems>
    </cacheField>
    <cacheField name="Settore" numFmtId="0">
      <sharedItems count="5">
        <s v="Libri"/>
        <s v="Informatica"/>
        <s v="Art. Regalo"/>
        <s v="Cancelleria"/>
        <s v="Giocattoli"/>
      </sharedItems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Giorni (data)" numFmtId="0" databaseField="0">
      <fieldGroup base="1">
        <rangePr groupBy="days" startDate="2014-01-01T00:00:00" endDate="2014-07-01T00:00:00"/>
        <groupItems count="368">
          <s v="&lt;01/01/2014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7/2014"/>
        </groupItems>
      </fieldGroup>
    </cacheField>
    <cacheField name="Mesi (data)" numFmtId="0" databaseField="0">
      <fieldGroup base="1">
        <rangePr groupBy="months" startDate="2014-01-01T00:00:00" endDate="2014-07-01T00:00:00"/>
        <groupItems count="14">
          <s v="&lt;01/01/201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1/0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5416669" createdVersion="8" refreshedVersion="8" minRefreshableVersion="3" recordCount="500" xr:uid="{46EBD0C7-6E6A-40EC-828F-2549413E18A8}">
  <cacheSource type="worksheet">
    <worksheetSource ref="A1:I501" sheet="Vendite"/>
  </cacheSource>
  <cacheFields count="11">
    <cacheField name="ID Vendita" numFmtId="0">
      <sharedItems containsSemiMixedTypes="0" containsString="0" containsNumber="1" containsInteger="1" minValue="1" maxValue="500"/>
    </cacheField>
    <cacheField name="data" numFmtId="14">
      <sharedItems containsSemiMixedTypes="0" containsNonDate="0" containsDate="1" containsString="0" minDate="2014-01-01T00:00:00" maxDate="2014-07-01T00:00:00" count="169">
        <d v="2014-03-21T00:00:00"/>
        <d v="2014-03-16T00:00:00"/>
        <d v="2014-02-24T00:00:00"/>
        <d v="2014-06-20T00:00:00"/>
        <d v="2014-01-24T00:00:00"/>
        <d v="2014-03-03T00:00:00"/>
        <d v="2014-04-09T00:00:00"/>
        <d v="2014-04-13T00:00:00"/>
        <d v="2014-04-25T00:00:00"/>
        <d v="2014-03-24T00:00:00"/>
        <d v="2014-05-25T00:00:00"/>
        <d v="2014-05-15T00:00:00"/>
        <d v="2014-05-18T00:00:00"/>
        <d v="2014-01-02T00:00:00"/>
        <d v="2014-03-14T00:00:00"/>
        <d v="2014-02-05T00:00:00"/>
        <d v="2014-05-21T00:00:00"/>
        <d v="2014-03-22T00:00:00"/>
        <d v="2014-04-05T00:00:00"/>
        <d v="2014-04-11T00:00:00"/>
        <d v="2014-01-03T00:00:00"/>
        <d v="2014-06-26T00:00:00"/>
        <d v="2014-05-22T00:00:00"/>
        <d v="2014-01-30T00:00:00"/>
        <d v="2014-06-11T00:00:00"/>
        <d v="2014-03-30T00:00:00"/>
        <d v="2014-05-27T00:00:00"/>
        <d v="2014-06-08T00:00:00"/>
        <d v="2014-04-04T00:00:00"/>
        <d v="2014-05-07T00:00:00"/>
        <d v="2014-01-23T00:00:00"/>
        <d v="2014-05-24T00:00:00"/>
        <d v="2014-03-31T00:00:00"/>
        <d v="2014-05-06T00:00:00"/>
        <d v="2014-03-13T00:00:00"/>
        <d v="2014-05-12T00:00:00"/>
        <d v="2014-03-19T00:00:00"/>
        <d v="2014-06-21T00:00:00"/>
        <d v="2014-03-18T00:00:00"/>
        <d v="2014-01-21T00:00:00"/>
        <d v="2014-05-28T00:00:00"/>
        <d v="2014-04-10T00:00:00"/>
        <d v="2014-03-01T00:00:00"/>
        <d v="2014-04-21T00:00:00"/>
        <d v="2014-02-11T00:00:00"/>
        <d v="2014-01-29T00:00:00"/>
        <d v="2014-03-23T00:00:00"/>
        <d v="2014-06-06T00:00:00"/>
        <d v="2014-01-04T00:00:00"/>
        <d v="2014-06-15T00:00:00"/>
        <d v="2014-01-18T00:00:00"/>
        <d v="2014-02-01T00:00:00"/>
        <d v="2014-04-15T00:00:00"/>
        <d v="2014-04-16T00:00:00"/>
        <d v="2014-02-04T00:00:00"/>
        <d v="2014-03-26T00:00:00"/>
        <d v="2014-03-02T00:00:00"/>
        <d v="2014-01-20T00:00:00"/>
        <d v="2014-06-02T00:00:00"/>
        <d v="2014-06-12T00:00:00"/>
        <d v="2014-05-03T00:00:00"/>
        <d v="2014-03-17T00:00:00"/>
        <d v="2014-02-07T00:00:00"/>
        <d v="2014-06-22T00:00:00"/>
        <d v="2014-03-25T00:00:00"/>
        <d v="2014-01-22T00:00:00"/>
        <d v="2014-04-14T00:00:00"/>
        <d v="2014-02-13T00:00:00"/>
        <d v="2014-04-20T00:00:00"/>
        <d v="2014-01-07T00:00:00"/>
        <d v="2014-06-28T00:00:00"/>
        <d v="2014-01-12T00:00:00"/>
        <d v="2014-03-15T00:00:00"/>
        <d v="2014-01-10T00:00:00"/>
        <d v="2014-01-11T00:00:00"/>
        <d v="2014-05-19T00:00:00"/>
        <d v="2014-02-26T00:00:00"/>
        <d v="2014-02-16T00:00:00"/>
        <d v="2014-02-28T00:00:00"/>
        <d v="2014-05-10T00:00:00"/>
        <d v="2014-06-17T00:00:00"/>
        <d v="2014-02-10T00:00:00"/>
        <d v="2014-03-28T00:00:00"/>
        <d v="2014-06-03T00:00:00"/>
        <d v="2014-01-14T00:00:00"/>
        <d v="2014-04-02T00:00:00"/>
        <d v="2014-04-26T00:00:00"/>
        <d v="2014-02-08T00:00:00"/>
        <d v="2014-06-04T00:00:00"/>
        <d v="2014-05-16T00:00:00"/>
        <d v="2014-06-10T00:00:00"/>
        <d v="2014-02-25T00:00:00"/>
        <d v="2014-06-29T00:00:00"/>
        <d v="2014-01-08T00:00:00"/>
        <d v="2014-05-31T00:00:00"/>
        <d v="2014-05-26T00:00:00"/>
        <d v="2014-03-04T00:00:00"/>
        <d v="2014-03-27T00:00:00"/>
        <d v="2014-01-13T00:00:00"/>
        <d v="2014-01-17T00:00:00"/>
        <d v="2014-05-13T00:00:00"/>
        <d v="2014-02-12T00:00:00"/>
        <d v="2014-04-24T00:00:00"/>
        <d v="2014-06-14T00:00:00"/>
        <d v="2014-06-09T00:00:00"/>
        <d v="2014-02-06T00:00:00"/>
        <d v="2014-03-08T00:00:00"/>
        <d v="2014-02-27T00:00:00"/>
        <d v="2014-03-10T00:00:00"/>
        <d v="2014-02-15T00:00:00"/>
        <d v="2014-03-06T00:00:00"/>
        <d v="2014-05-17T00:00:00"/>
        <d v="2014-01-28T00:00:00"/>
        <d v="2014-04-29T00:00:00"/>
        <d v="2014-06-27T00:00:00"/>
        <d v="2014-01-26T00:00:00"/>
        <d v="2014-06-25T00:00:00"/>
        <d v="2014-02-17T00:00:00"/>
        <d v="2014-02-23T00:00:00"/>
        <d v="2014-02-02T00:00:00"/>
        <d v="2014-01-06T00:00:00"/>
        <d v="2014-06-05T00:00:00"/>
        <d v="2014-01-05T00:00:00"/>
        <d v="2014-03-07T00:00:00"/>
        <d v="2014-02-22T00:00:00"/>
        <d v="2014-02-09T00:00:00"/>
        <d v="2014-04-07T00:00:00"/>
        <d v="2014-04-18T00:00:00"/>
        <d v="2014-01-31T00:00:00"/>
        <d v="2014-02-18T00:00:00"/>
        <d v="2014-04-30T00:00:00"/>
        <d v="2014-05-29T00:00:00"/>
        <d v="2014-04-28T00:00:00"/>
        <d v="2014-04-23T00:00:00"/>
        <d v="2014-05-09T00:00:00"/>
        <d v="2014-04-01T00:00:00"/>
        <d v="2014-04-17T00:00:00"/>
        <d v="2014-05-11T00:00:00"/>
        <d v="2014-06-24T00:00:00"/>
        <d v="2014-03-05T00:00:00"/>
        <d v="2014-01-15T00:00:00"/>
        <d v="2014-05-05T00:00:00"/>
        <d v="2014-02-20T00:00:00"/>
        <d v="2014-01-27T00:00:00"/>
        <d v="2014-05-23T00:00:00"/>
        <d v="2014-04-19T00:00:00"/>
        <d v="2014-01-01T00:00:00"/>
        <d v="2014-01-19T00:00:00"/>
        <d v="2014-01-16T00:00:00"/>
        <d v="2014-06-01T00:00:00"/>
        <d v="2014-02-14T00:00:00"/>
        <d v="2014-05-04T00:00:00"/>
        <d v="2014-06-19T00:00:00"/>
        <d v="2014-04-27T00:00:00"/>
        <d v="2014-06-13T00:00:00"/>
        <d v="2014-05-01T00:00:00"/>
        <d v="2014-04-03T00:00:00"/>
        <d v="2014-06-23T00:00:00"/>
        <d v="2014-03-29T00:00:00"/>
        <d v="2014-02-19T00:00:00"/>
        <d v="2014-04-12T00:00:00"/>
        <d v="2014-04-22T00:00:00"/>
        <d v="2014-03-09T00:00:00"/>
        <d v="2014-06-07T00:00:00"/>
        <d v="2014-05-02T00:00:00"/>
        <d v="2014-06-30T00:00:00"/>
        <d v="2014-05-20T00:00:00"/>
        <d v="2014-02-21T00:00:00"/>
        <d v="2014-03-20T00:00:00"/>
      </sharedItems>
      <fieldGroup par="10"/>
    </cacheField>
    <cacheField name="Venditore" numFmtId="0">
      <sharedItems/>
    </cacheField>
    <cacheField name="Provincia" numFmtId="0">
      <sharedItems/>
    </cacheField>
    <cacheField name="Settore" numFmtId="0">
      <sharedItems count="5">
        <s v="Libri"/>
        <s v="Informatica"/>
        <s v="Art. Regalo"/>
        <s v="Cancelleria"/>
        <s v="Giocattoli"/>
      </sharedItems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Regione" numFmtId="0">
      <sharedItems count="18">
        <s v="Emilia-Romagna"/>
        <s v="Toscana"/>
        <s v="Piemonte"/>
        <s v="Sardegna"/>
        <s v="Friuli-Venezia Giulia"/>
        <s v="Basilicata"/>
        <s v="Veneto"/>
        <s v="Lombardia"/>
        <s v="Liguria"/>
        <s v="Sicilia"/>
        <s v="Marche"/>
        <s v="Trentino-Alto Adige"/>
        <s v="Lazio"/>
        <s v="Campania"/>
        <s v="Calabria"/>
        <s v="Umbria"/>
        <s v="Abruzzo"/>
        <s v="Puglia"/>
      </sharedItems>
    </cacheField>
    <cacheField name="Sigla" numFmtId="0">
      <sharedItems/>
    </cacheField>
    <cacheField name="Giorni (data)" numFmtId="0" databaseField="0">
      <fieldGroup base="1">
        <rangePr groupBy="days" startDate="2014-01-01T00:00:00" endDate="2014-07-01T00:00:00"/>
        <groupItems count="368">
          <s v="&lt;01/01/2014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7/2014"/>
        </groupItems>
      </fieldGroup>
    </cacheField>
    <cacheField name="Mesi (data)" numFmtId="0" databaseField="0">
      <fieldGroup base="1">
        <rangePr groupBy="months" startDate="2014-01-01T00:00:00" endDate="2014-07-01T00:00:00"/>
        <groupItems count="14">
          <s v="&lt;01/01/201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1/0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5648146" createdVersion="8" refreshedVersion="8" minRefreshableVersion="3" recordCount="500" xr:uid="{B64386BD-D3C7-42B7-97EB-0DBE9DAB8D94}">
  <cacheSource type="worksheet">
    <worksheetSource ref="A1:K501" sheet="Vendite"/>
  </cacheSource>
  <cacheFields count="13">
    <cacheField name="ID Vendita" numFmtId="0">
      <sharedItems containsSemiMixedTypes="0" containsString="0" containsNumber="1" containsInteger="1" minValue="1" maxValue="500"/>
    </cacheField>
    <cacheField name="data" numFmtId="14">
      <sharedItems containsSemiMixedTypes="0" containsNonDate="0" containsDate="1" containsString="0" minDate="2014-01-01T00:00:00" maxDate="2014-07-01T00:00:00" count="169">
        <d v="2014-03-21T00:00:00"/>
        <d v="2014-03-16T00:00:00"/>
        <d v="2014-02-24T00:00:00"/>
        <d v="2014-06-20T00:00:00"/>
        <d v="2014-01-24T00:00:00"/>
        <d v="2014-03-03T00:00:00"/>
        <d v="2014-04-09T00:00:00"/>
        <d v="2014-04-13T00:00:00"/>
        <d v="2014-04-25T00:00:00"/>
        <d v="2014-03-24T00:00:00"/>
        <d v="2014-05-25T00:00:00"/>
        <d v="2014-05-15T00:00:00"/>
        <d v="2014-05-18T00:00:00"/>
        <d v="2014-01-02T00:00:00"/>
        <d v="2014-03-14T00:00:00"/>
        <d v="2014-02-05T00:00:00"/>
        <d v="2014-05-21T00:00:00"/>
        <d v="2014-03-22T00:00:00"/>
        <d v="2014-04-05T00:00:00"/>
        <d v="2014-04-11T00:00:00"/>
        <d v="2014-01-03T00:00:00"/>
        <d v="2014-06-26T00:00:00"/>
        <d v="2014-05-22T00:00:00"/>
        <d v="2014-01-30T00:00:00"/>
        <d v="2014-06-11T00:00:00"/>
        <d v="2014-03-30T00:00:00"/>
        <d v="2014-05-27T00:00:00"/>
        <d v="2014-06-08T00:00:00"/>
        <d v="2014-04-04T00:00:00"/>
        <d v="2014-05-07T00:00:00"/>
        <d v="2014-01-23T00:00:00"/>
        <d v="2014-05-24T00:00:00"/>
        <d v="2014-03-31T00:00:00"/>
        <d v="2014-05-06T00:00:00"/>
        <d v="2014-03-13T00:00:00"/>
        <d v="2014-05-12T00:00:00"/>
        <d v="2014-03-19T00:00:00"/>
        <d v="2014-06-21T00:00:00"/>
        <d v="2014-03-18T00:00:00"/>
        <d v="2014-01-21T00:00:00"/>
        <d v="2014-05-28T00:00:00"/>
        <d v="2014-04-10T00:00:00"/>
        <d v="2014-03-01T00:00:00"/>
        <d v="2014-04-21T00:00:00"/>
        <d v="2014-02-11T00:00:00"/>
        <d v="2014-01-29T00:00:00"/>
        <d v="2014-03-23T00:00:00"/>
        <d v="2014-06-06T00:00:00"/>
        <d v="2014-01-04T00:00:00"/>
        <d v="2014-06-15T00:00:00"/>
        <d v="2014-01-18T00:00:00"/>
        <d v="2014-02-01T00:00:00"/>
        <d v="2014-04-15T00:00:00"/>
        <d v="2014-04-16T00:00:00"/>
        <d v="2014-02-04T00:00:00"/>
        <d v="2014-03-26T00:00:00"/>
        <d v="2014-03-02T00:00:00"/>
        <d v="2014-01-20T00:00:00"/>
        <d v="2014-06-02T00:00:00"/>
        <d v="2014-06-12T00:00:00"/>
        <d v="2014-05-03T00:00:00"/>
        <d v="2014-03-17T00:00:00"/>
        <d v="2014-02-07T00:00:00"/>
        <d v="2014-06-22T00:00:00"/>
        <d v="2014-03-25T00:00:00"/>
        <d v="2014-01-22T00:00:00"/>
        <d v="2014-04-14T00:00:00"/>
        <d v="2014-02-13T00:00:00"/>
        <d v="2014-04-20T00:00:00"/>
        <d v="2014-01-07T00:00:00"/>
        <d v="2014-06-28T00:00:00"/>
        <d v="2014-01-12T00:00:00"/>
        <d v="2014-03-15T00:00:00"/>
        <d v="2014-01-10T00:00:00"/>
        <d v="2014-01-11T00:00:00"/>
        <d v="2014-05-19T00:00:00"/>
        <d v="2014-02-26T00:00:00"/>
        <d v="2014-02-16T00:00:00"/>
        <d v="2014-02-28T00:00:00"/>
        <d v="2014-05-10T00:00:00"/>
        <d v="2014-06-17T00:00:00"/>
        <d v="2014-02-10T00:00:00"/>
        <d v="2014-03-28T00:00:00"/>
        <d v="2014-06-03T00:00:00"/>
        <d v="2014-01-14T00:00:00"/>
        <d v="2014-04-02T00:00:00"/>
        <d v="2014-04-26T00:00:00"/>
        <d v="2014-02-08T00:00:00"/>
        <d v="2014-06-04T00:00:00"/>
        <d v="2014-05-16T00:00:00"/>
        <d v="2014-06-10T00:00:00"/>
        <d v="2014-02-25T00:00:00"/>
        <d v="2014-06-29T00:00:00"/>
        <d v="2014-01-08T00:00:00"/>
        <d v="2014-05-31T00:00:00"/>
        <d v="2014-05-26T00:00:00"/>
        <d v="2014-03-04T00:00:00"/>
        <d v="2014-03-27T00:00:00"/>
        <d v="2014-01-13T00:00:00"/>
        <d v="2014-01-17T00:00:00"/>
        <d v="2014-05-13T00:00:00"/>
        <d v="2014-02-12T00:00:00"/>
        <d v="2014-04-24T00:00:00"/>
        <d v="2014-06-14T00:00:00"/>
        <d v="2014-06-09T00:00:00"/>
        <d v="2014-02-06T00:00:00"/>
        <d v="2014-03-08T00:00:00"/>
        <d v="2014-02-27T00:00:00"/>
        <d v="2014-03-10T00:00:00"/>
        <d v="2014-02-15T00:00:00"/>
        <d v="2014-03-06T00:00:00"/>
        <d v="2014-05-17T00:00:00"/>
        <d v="2014-01-28T00:00:00"/>
        <d v="2014-04-29T00:00:00"/>
        <d v="2014-06-27T00:00:00"/>
        <d v="2014-01-26T00:00:00"/>
        <d v="2014-06-25T00:00:00"/>
        <d v="2014-02-17T00:00:00"/>
        <d v="2014-02-23T00:00:00"/>
        <d v="2014-02-02T00:00:00"/>
        <d v="2014-01-06T00:00:00"/>
        <d v="2014-06-05T00:00:00"/>
        <d v="2014-01-05T00:00:00"/>
        <d v="2014-03-07T00:00:00"/>
        <d v="2014-02-22T00:00:00"/>
        <d v="2014-02-09T00:00:00"/>
        <d v="2014-04-07T00:00:00"/>
        <d v="2014-04-18T00:00:00"/>
        <d v="2014-01-31T00:00:00"/>
        <d v="2014-02-18T00:00:00"/>
        <d v="2014-04-30T00:00:00"/>
        <d v="2014-05-29T00:00:00"/>
        <d v="2014-04-28T00:00:00"/>
        <d v="2014-04-23T00:00:00"/>
        <d v="2014-05-09T00:00:00"/>
        <d v="2014-04-01T00:00:00"/>
        <d v="2014-04-17T00:00:00"/>
        <d v="2014-05-11T00:00:00"/>
        <d v="2014-06-24T00:00:00"/>
        <d v="2014-03-05T00:00:00"/>
        <d v="2014-01-15T00:00:00"/>
        <d v="2014-05-05T00:00:00"/>
        <d v="2014-02-20T00:00:00"/>
        <d v="2014-01-27T00:00:00"/>
        <d v="2014-05-23T00:00:00"/>
        <d v="2014-04-19T00:00:00"/>
        <d v="2014-01-01T00:00:00"/>
        <d v="2014-01-19T00:00:00"/>
        <d v="2014-01-16T00:00:00"/>
        <d v="2014-06-01T00:00:00"/>
        <d v="2014-02-14T00:00:00"/>
        <d v="2014-05-04T00:00:00"/>
        <d v="2014-06-19T00:00:00"/>
        <d v="2014-04-27T00:00:00"/>
        <d v="2014-06-13T00:00:00"/>
        <d v="2014-05-01T00:00:00"/>
        <d v="2014-04-03T00:00:00"/>
        <d v="2014-06-23T00:00:00"/>
        <d v="2014-03-29T00:00:00"/>
        <d v="2014-02-19T00:00:00"/>
        <d v="2014-04-12T00:00:00"/>
        <d v="2014-04-22T00:00:00"/>
        <d v="2014-03-09T00:00:00"/>
        <d v="2014-06-07T00:00:00"/>
        <d v="2014-05-02T00:00:00"/>
        <d v="2014-06-30T00:00:00"/>
        <d v="2014-05-20T00:00:00"/>
        <d v="2014-02-21T00:00:00"/>
        <d v="2014-03-20T00:00:00"/>
      </sharedItems>
      <fieldGroup par="12"/>
    </cacheField>
    <cacheField name="Venditore" numFmtId="0">
      <sharedItems count="6">
        <s v="Neri"/>
        <s v="Bianchi"/>
        <s v="Azzurri"/>
        <s v="Rossi"/>
        <s v="Verdi"/>
        <s v="Gialli"/>
      </sharedItems>
    </cacheField>
    <cacheField name="Provincia" numFmtId="0">
      <sharedItems/>
    </cacheField>
    <cacheField name="Settore" numFmtId="0">
      <sharedItems/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Regione" numFmtId="0">
      <sharedItems/>
    </cacheField>
    <cacheField name="Sigla" numFmtId="0">
      <sharedItems/>
    </cacheField>
    <cacheField name="Zona" numFmtId="0">
      <sharedItems count="4">
        <s v="NORD"/>
        <s v="CENTRO"/>
        <s v="ISOLE"/>
        <s v="SUD"/>
      </sharedItems>
    </cacheField>
    <cacheField name="Vedite" numFmtId="0">
      <sharedItems containsSemiMixedTypes="0" containsString="0" containsNumber="1" containsInteger="1" minValue="70" maxValue="96"/>
    </cacheField>
    <cacheField name="Giorni (data)" numFmtId="0" databaseField="0">
      <fieldGroup base="1">
        <rangePr groupBy="days" startDate="2014-01-01T00:00:00" endDate="2014-07-01T00:00:00"/>
        <groupItems count="368">
          <s v="&lt;01/01/2014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7/2014"/>
        </groupItems>
      </fieldGroup>
    </cacheField>
    <cacheField name="Mesi (data)" numFmtId="0" databaseField="0">
      <fieldGroup base="1">
        <rangePr groupBy="months" startDate="2014-01-01T00:00:00" endDate="2014-07-01T00:00:00"/>
        <groupItems count="14">
          <s v="&lt;01/01/201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1/0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5879631" createdVersion="8" refreshedVersion="8" minRefreshableVersion="3" recordCount="500" xr:uid="{52777CB0-7317-4DFC-8872-00AED2CEDD7F}">
  <cacheSource type="worksheet">
    <worksheetSource ref="A1:L501" sheet="Vendite"/>
  </cacheSource>
  <cacheFields count="12">
    <cacheField name="ID Vendita" numFmtId="0">
      <sharedItems containsSemiMixedTypes="0" containsString="0" containsNumber="1" containsInteger="1" minValue="1" maxValue="500"/>
    </cacheField>
    <cacheField name="data" numFmtId="14">
      <sharedItems containsSemiMixedTypes="0" containsNonDate="0" containsDate="1" containsString="0" minDate="2014-01-01T00:00:00" maxDate="2014-07-01T00:00:00"/>
    </cacheField>
    <cacheField name="Venditore" numFmtId="0">
      <sharedItems/>
    </cacheField>
    <cacheField name="Provincia" numFmtId="0">
      <sharedItems/>
    </cacheField>
    <cacheField name="Settore" numFmtId="0">
      <sharedItems count="5">
        <s v="Libri"/>
        <s v="Informatica"/>
        <s v="Art. Regalo"/>
        <s v="Cancelleria"/>
        <s v="Giocattoli"/>
      </sharedItems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Regione" numFmtId="0">
      <sharedItems count="18">
        <s v="Emilia-Romagna"/>
        <s v="Toscana"/>
        <s v="Piemonte"/>
        <s v="Sardegna"/>
        <s v="Friuli-Venezia Giulia"/>
        <s v="Basilicata"/>
        <s v="Veneto"/>
        <s v="Lombardia"/>
        <s v="Liguria"/>
        <s v="Sicilia"/>
        <s v="Marche"/>
        <s v="Trentino-Alto Adige"/>
        <s v="Lazio"/>
        <s v="Campania"/>
        <s v="Calabria"/>
        <s v="Umbria"/>
        <s v="Abruzzo"/>
        <s v="Puglia"/>
      </sharedItems>
    </cacheField>
    <cacheField name="Sigla" numFmtId="0">
      <sharedItems/>
    </cacheField>
    <cacheField name="Zona" numFmtId="0">
      <sharedItems count="4">
        <s v="NORD"/>
        <s v="CENTRO"/>
        <s v="ISOLE"/>
        <s v="SUD"/>
      </sharedItems>
    </cacheField>
    <cacheField name="Vedite" numFmtId="0">
      <sharedItems containsSemiMixedTypes="0" containsString="0" containsNumber="1" containsInteger="1" minValue="70" maxValue="96"/>
    </cacheField>
    <cacheField name="Fascia d'impor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479036111108" createdVersion="8" refreshedVersion="8" minRefreshableVersion="3" recordCount="500" xr:uid="{51AB620C-7AA7-441B-8746-B69F91F75637}">
  <cacheSource type="worksheet">
    <worksheetSource ref="A1:M501" sheet="Vendite"/>
  </cacheSource>
  <cacheFields count="13">
    <cacheField name="ID Vendita" numFmtId="0">
      <sharedItems containsSemiMixedTypes="0" containsString="0" containsNumber="1" containsInteger="1" minValue="1" maxValue="500"/>
    </cacheField>
    <cacheField name="data" numFmtId="14">
      <sharedItems containsSemiMixedTypes="0" containsNonDate="0" containsDate="1" containsString="0" minDate="2014-01-01T00:00:00" maxDate="2014-07-01T00:00:00"/>
    </cacheField>
    <cacheField name="Venditore" numFmtId="0">
      <sharedItems/>
    </cacheField>
    <cacheField name="Provincia" numFmtId="0">
      <sharedItems/>
    </cacheField>
    <cacheField name="Settore" numFmtId="0">
      <sharedItems/>
    </cacheField>
    <cacheField name="Fatturato " numFmtId="164">
      <sharedItems containsSemiMixedTypes="0" containsString="0" containsNumber="1" containsInteger="1" minValue="3" maxValue="2000"/>
    </cacheField>
    <cacheField name="ID tipo pagamento" numFmtId="1">
      <sharedItems containsSemiMixedTypes="0" containsString="0" containsNumber="1" containsInteger="1" minValue="1" maxValue="5"/>
    </cacheField>
    <cacheField name="Regione" numFmtId="0">
      <sharedItems/>
    </cacheField>
    <cacheField name="Sigla" numFmtId="0">
      <sharedItems/>
    </cacheField>
    <cacheField name="Zona" numFmtId="0">
      <sharedItems/>
    </cacheField>
    <cacheField name="Vedite" numFmtId="0">
      <sharedItems containsSemiMixedTypes="0" containsString="0" containsNumber="1" containsInteger="1" minValue="70" maxValue="96"/>
    </cacheField>
    <cacheField name="Fascia d'importo" numFmtId="0">
      <sharedItems/>
    </cacheField>
    <cacheField name="Modalità di pagamento" numFmtId="0">
      <sharedItems count="5">
        <s v="Carta di credito"/>
        <s v="Assegno Bancario"/>
        <s v="Bollettino postale"/>
        <s v="Contanti"/>
        <s v="Bonifico Banc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569197106481" createdVersion="8" refreshedVersion="8" minRefreshableVersion="3" recordCount="7" xr:uid="{3240A74D-AD4B-467C-A594-0055F03E29F1}">
  <cacheSource type="worksheet">
    <worksheetSource ref="A4:G11" sheet="Esercizio 1"/>
  </cacheSource>
  <cacheFields count="7">
    <cacheField name="Agente" numFmtId="0">
      <sharedItems count="7">
        <s v="Azzurri"/>
        <s v="Bianchi"/>
        <s v="Gialli"/>
        <s v="Neri"/>
        <s v="Rossi"/>
        <s v="Verdi"/>
        <s v="Totale complessivo"/>
      </sharedItems>
    </cacheField>
    <cacheField name="Art. Regalo" numFmtId="164">
      <sharedItems containsSemiMixedTypes="0" containsString="0" containsNumber="1" minValue="913.61111111111109" maxValue="1182.7333333333333"/>
    </cacheField>
    <cacheField name="Cancelleria" numFmtId="164">
      <sharedItems containsSemiMixedTypes="0" containsString="0" containsNumber="1" minValue="664" maxValue="1108.1666666666667"/>
    </cacheField>
    <cacheField name="Giocattoli" numFmtId="164">
      <sharedItems containsSemiMixedTypes="0" containsString="0" containsNumber="1" minValue="859.29411764705878" maxValue="1240.4375"/>
    </cacheField>
    <cacheField name="Informatica" numFmtId="164">
      <sharedItems containsSemiMixedTypes="0" containsString="0" containsNumber="1" minValue="856.76470588235293" maxValue="1359.2142857142858"/>
    </cacheField>
    <cacheField name="Libri" numFmtId="164">
      <sharedItems containsSemiMixedTypes="0" containsString="0" containsNumber="1" minValue="760.4666666666667" maxValue="1131.4000000000001"/>
    </cacheField>
    <cacheField name="Totale complessivo" numFmtId="164">
      <sharedItems containsSemiMixedTypes="0" containsString="0" containsNumber="1" minValue="974.60416666666663" maxValue="1067.80722891566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570250810182" createdVersion="8" refreshedVersion="8" minRefreshableVersion="3" recordCount="10" xr:uid="{7AD0C693-BCD3-4B10-9083-03D1FB6A8BA9}">
  <cacheSource type="worksheet">
    <worksheetSource ref="A4:D14" sheet="Esercizio 2"/>
  </cacheSource>
  <cacheFields count="4">
    <cacheField name="Etichette di riga" numFmtId="0">
      <sharedItems count="7">
        <s v="Bianchi"/>
        <s v="Sassari"/>
        <s v="Trento"/>
        <s v="Neri"/>
        <s v="Rovigo"/>
        <s v="Verdi"/>
        <s v="Totale complessivo"/>
      </sharedItems>
    </cacheField>
    <cacheField name="Cancelleria" numFmtId="164">
      <sharedItems containsString="0" containsBlank="1" containsNumber="1" containsInteger="1" minValue="3" maxValue="4637"/>
    </cacheField>
    <cacheField name="Informatica" numFmtId="164">
      <sharedItems containsString="0" containsBlank="1" containsNumber="1" containsInteger="1" minValue="1090" maxValue="1090"/>
    </cacheField>
    <cacheField name="Totale complessivo" numFmtId="164">
      <sharedItems containsSemiMixedTypes="0" containsString="0" containsNumber="1" containsInteger="1" minValue="3" maxValue="57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570975462964" createdVersion="8" refreshedVersion="8" minRefreshableVersion="3" recordCount="7" xr:uid="{3F0B1F6A-ED34-4F5C-839C-256D498D861F}">
  <cacheSource type="worksheet">
    <worksheetSource ref="A4:G11" sheet="Esercizio 3"/>
  </cacheSource>
  <cacheFields count="7">
    <cacheField name="Mesi" numFmtId="0">
      <sharedItems count="7">
        <s v="gen"/>
        <s v="feb"/>
        <s v="mar"/>
        <s v="apr"/>
        <s v="mag"/>
        <s v="giu"/>
        <s v="Totale complessivo"/>
      </sharedItems>
    </cacheField>
    <cacheField name="Art. Regalo" numFmtId="164">
      <sharedItems containsSemiMixedTypes="0" containsString="0" containsNumber="1" containsInteger="1" minValue="8993" maxValue="113696"/>
    </cacheField>
    <cacheField name="Cancelleria" numFmtId="164">
      <sharedItems containsSemiMixedTypes="0" containsString="0" containsNumber="1" containsInteger="1" minValue="13396" maxValue="96072"/>
    </cacheField>
    <cacheField name="Giocattoli" numFmtId="164">
      <sharedItems containsSemiMixedTypes="0" containsString="0" containsNumber="1" containsInteger="1" minValue="10142" maxValue="102573"/>
    </cacheField>
    <cacheField name="Informatica" numFmtId="164">
      <sharedItems containsSemiMixedTypes="0" containsString="0" containsNumber="1" containsInteger="1" minValue="12190" maxValue="97111"/>
    </cacheField>
    <cacheField name="Libri" numFmtId="164">
      <sharedItems containsSemiMixedTypes="0" containsString="0" containsNumber="1" containsInteger="1" minValue="14273" maxValue="103946"/>
    </cacheField>
    <cacheField name="Totale complessivo" numFmtId="164">
      <sharedItems containsSemiMixedTypes="0" containsString="0" containsNumber="1" containsInteger="1" minValue="74320" maxValue="513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5.575144097224" createdVersion="8" refreshedVersion="8" minRefreshableVersion="3" recordCount="6" xr:uid="{454C0AB3-BC5C-4CA7-BCB1-12077194BF2A}">
  <cacheSource type="worksheet">
    <worksheetSource ref="A4:H10" sheet="Esercizio 6"/>
  </cacheSource>
  <cacheFields count="8">
    <cacheField name="Fascia" numFmtId="0">
      <sharedItems count="6">
        <s v="Fascia 1 (inferiore a 400 €)"/>
        <s v="Fascia 4 (da 1200 €  a meno di 1500 €)"/>
        <s v="Fascia 3 (da 800 €  a meno di 1200 €)"/>
        <s v="Fascia 2 (da 400 €  a meno di 800 €)"/>
        <s v="Fascia 5 (da 1500 € e oltre)"/>
        <s v="Totale complessivo"/>
      </sharedItems>
    </cacheField>
    <cacheField name="Azzurri" numFmtId="0">
      <sharedItems containsSemiMixedTypes="0" containsString="0" containsNumber="1" containsInteger="1" minValue="10" maxValue="83"/>
    </cacheField>
    <cacheField name="Bianchi" numFmtId="0">
      <sharedItems containsSemiMixedTypes="0" containsString="0" containsNumber="1" containsInteger="1" minValue="13" maxValue="87"/>
    </cacheField>
    <cacheField name="Gialli" numFmtId="0">
      <sharedItems containsSemiMixedTypes="0" containsString="0" containsNumber="1" containsInteger="1" minValue="10" maxValue="80"/>
    </cacheField>
    <cacheField name="Neri" numFmtId="0">
      <sharedItems containsSemiMixedTypes="0" containsString="0" containsNumber="1" containsInteger="1" minValue="11" maxValue="70"/>
    </cacheField>
    <cacheField name="Rossi" numFmtId="0">
      <sharedItems containsSemiMixedTypes="0" containsString="0" containsNumber="1" containsInteger="1" minValue="14" maxValue="96"/>
    </cacheField>
    <cacheField name="Verdi" numFmtId="0">
      <sharedItems containsSemiMixedTypes="0" containsString="0" containsNumber="1" containsInteger="1" minValue="13" maxValue="84"/>
    </cacheField>
    <cacheField name="Totale complessivo" numFmtId="0">
      <sharedItems containsSemiMixedTypes="0" containsString="0" containsNumber="1" containsInteger="1" minValue="8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14-03-21T00:00:00"/>
    <x v="0"/>
    <s v="Piacenza"/>
    <s v="Libri"/>
    <n v="360"/>
    <n v="3"/>
    <s v="Emilia-Romagna"/>
    <s v="PC"/>
    <s v="NORD"/>
    <n v="70"/>
    <x v="0"/>
  </r>
  <r>
    <d v="2014-03-16T00:00:00"/>
    <x v="1"/>
    <s v="Pistoia"/>
    <s v="Libri"/>
    <n v="1496"/>
    <n v="5"/>
    <s v="Toscana"/>
    <s v="PT"/>
    <s v="CENTRO"/>
    <n v="87"/>
    <x v="1"/>
  </r>
  <r>
    <d v="2014-02-24T00:00:00"/>
    <x v="1"/>
    <s v="Verbano-Cusio-Ossola"/>
    <s v="Informatica"/>
    <n v="1342"/>
    <n v="4"/>
    <s v="Piemonte"/>
    <s v="VB"/>
    <s v="NORD"/>
    <n v="87"/>
    <x v="1"/>
  </r>
  <r>
    <d v="2014-06-20T00:00:00"/>
    <x v="2"/>
    <s v="Ravenna"/>
    <s v="Art. Regalo"/>
    <n v="972"/>
    <n v="1"/>
    <s v="Emilia-Romagna"/>
    <s v="RA"/>
    <s v="NORD"/>
    <n v="83"/>
    <x v="2"/>
  </r>
  <r>
    <d v="2014-01-24T00:00:00"/>
    <x v="1"/>
    <s v="Pisa"/>
    <s v="Informatica"/>
    <n v="348"/>
    <n v="2"/>
    <s v="Toscana"/>
    <s v="PI"/>
    <s v="CENTRO"/>
    <n v="87"/>
    <x v="0"/>
  </r>
  <r>
    <d v="2014-03-03T00:00:00"/>
    <x v="1"/>
    <s v="Vercelli"/>
    <s v="Cancelleria"/>
    <n v="31"/>
    <n v="1"/>
    <s v="Piemonte"/>
    <s v="VC"/>
    <s v="NORD"/>
    <n v="87"/>
    <x v="0"/>
  </r>
  <r>
    <d v="2014-04-09T00:00:00"/>
    <x v="1"/>
    <s v="Sassari"/>
    <s v="Art. Regalo"/>
    <n v="1087"/>
    <n v="4"/>
    <s v="Sardegna"/>
    <s v="SS"/>
    <s v="ISOLE"/>
    <n v="87"/>
    <x v="2"/>
  </r>
  <r>
    <d v="2014-04-13T00:00:00"/>
    <x v="2"/>
    <s v="Sassari"/>
    <s v="Informatica"/>
    <n v="760"/>
    <n v="2"/>
    <s v="Sardegna"/>
    <s v="SS"/>
    <s v="ISOLE"/>
    <n v="83"/>
    <x v="3"/>
  </r>
  <r>
    <d v="2014-04-25T00:00:00"/>
    <x v="2"/>
    <s v="Pistoia"/>
    <s v="Informatica"/>
    <n v="10"/>
    <n v="5"/>
    <s v="Toscana"/>
    <s v="PT"/>
    <s v="CENTRO"/>
    <n v="83"/>
    <x v="0"/>
  </r>
  <r>
    <d v="2014-03-24T00:00:00"/>
    <x v="2"/>
    <s v="Trieste"/>
    <s v="Libri"/>
    <n v="357"/>
    <n v="2"/>
    <s v="Friuli-Venezia Giulia"/>
    <s v="TS"/>
    <s v="NORD"/>
    <n v="83"/>
    <x v="0"/>
  </r>
  <r>
    <d v="2014-05-25T00:00:00"/>
    <x v="2"/>
    <s v="Sassari"/>
    <s v="Informatica"/>
    <n v="19"/>
    <n v="1"/>
    <s v="Sardegna"/>
    <s v="SS"/>
    <s v="ISOLE"/>
    <n v="83"/>
    <x v="0"/>
  </r>
  <r>
    <d v="2014-05-15T00:00:00"/>
    <x v="3"/>
    <s v="Rimini"/>
    <s v="Cancelleria"/>
    <n v="20"/>
    <n v="1"/>
    <s v="Emilia-Romagna"/>
    <s v="RN"/>
    <s v="NORD"/>
    <n v="96"/>
    <x v="0"/>
  </r>
  <r>
    <d v="2014-05-18T00:00:00"/>
    <x v="2"/>
    <s v="Siena"/>
    <s v="Libri"/>
    <n v="604"/>
    <n v="1"/>
    <s v="Toscana"/>
    <s v="SI"/>
    <s v="CENTRO"/>
    <n v="83"/>
    <x v="3"/>
  </r>
  <r>
    <d v="2014-01-02T00:00:00"/>
    <x v="4"/>
    <s v="Potenza"/>
    <s v="Giocattoli"/>
    <n v="856"/>
    <n v="3"/>
    <s v="Basilicata"/>
    <s v="PZ"/>
    <s v="SUD"/>
    <n v="84"/>
    <x v="2"/>
  </r>
  <r>
    <d v="2014-03-14T00:00:00"/>
    <x v="1"/>
    <s v="Reggio nell'Emilia"/>
    <s v="Giocattoli"/>
    <n v="833"/>
    <n v="3"/>
    <s v="Emilia-Romagna"/>
    <s v="RE"/>
    <s v="NORD"/>
    <n v="87"/>
    <x v="2"/>
  </r>
  <r>
    <d v="2014-02-05T00:00:00"/>
    <x v="4"/>
    <s v="Treviso"/>
    <s v="Art. Regalo"/>
    <n v="1782"/>
    <n v="2"/>
    <s v="Veneto"/>
    <s v="TV"/>
    <s v="NORD"/>
    <n v="84"/>
    <x v="4"/>
  </r>
  <r>
    <d v="2014-05-21T00:00:00"/>
    <x v="1"/>
    <s v="Pavia"/>
    <s v="Giocattoli"/>
    <n v="1428"/>
    <n v="5"/>
    <s v="Lombardia"/>
    <s v="PV"/>
    <s v="NORD"/>
    <n v="87"/>
    <x v="1"/>
  </r>
  <r>
    <d v="2014-03-22T00:00:00"/>
    <x v="1"/>
    <s v="Savona"/>
    <s v="Informatica"/>
    <n v="1677"/>
    <n v="5"/>
    <s v="Liguria"/>
    <s v="SV"/>
    <s v="NORD"/>
    <n v="87"/>
    <x v="4"/>
  </r>
  <r>
    <d v="2014-04-05T00:00:00"/>
    <x v="5"/>
    <s v="Rimini"/>
    <s v="Art. Regalo"/>
    <n v="1514"/>
    <n v="2"/>
    <s v="Emilia-Romagna"/>
    <s v="RN"/>
    <s v="NORD"/>
    <n v="80"/>
    <x v="4"/>
  </r>
  <r>
    <d v="2014-04-11T00:00:00"/>
    <x v="3"/>
    <s v="Venezia"/>
    <s v="Giocattoli"/>
    <n v="459"/>
    <n v="3"/>
    <s v="Veneto"/>
    <s v="VE"/>
    <s v="NORD"/>
    <n v="96"/>
    <x v="3"/>
  </r>
  <r>
    <d v="2014-01-03T00:00:00"/>
    <x v="4"/>
    <s v="Vercelli"/>
    <s v="Cancelleria"/>
    <n v="344"/>
    <n v="2"/>
    <s v="Piemonte"/>
    <s v="VC"/>
    <s v="NORD"/>
    <n v="84"/>
    <x v="0"/>
  </r>
  <r>
    <d v="2014-06-26T00:00:00"/>
    <x v="0"/>
    <s v="Verona"/>
    <s v="Giocattoli"/>
    <n v="10"/>
    <n v="4"/>
    <s v="Veneto"/>
    <s v="VR"/>
    <s v="NORD"/>
    <n v="70"/>
    <x v="0"/>
  </r>
  <r>
    <d v="2014-05-22T00:00:00"/>
    <x v="3"/>
    <s v="Rovigo"/>
    <s v="Informatica"/>
    <n v="1582"/>
    <n v="3"/>
    <s v="Veneto"/>
    <s v="RO"/>
    <s v="NORD"/>
    <n v="96"/>
    <x v="4"/>
  </r>
  <r>
    <d v="2014-02-24T00:00:00"/>
    <x v="2"/>
    <s v="Trapani"/>
    <s v="Giocattoli"/>
    <n v="1072"/>
    <n v="5"/>
    <s v="Sicilia"/>
    <s v="TP"/>
    <s v="ISOLE"/>
    <n v="83"/>
    <x v="2"/>
  </r>
  <r>
    <d v="2014-04-11T00:00:00"/>
    <x v="3"/>
    <s v="Sondrio"/>
    <s v="Giocattoli"/>
    <n v="1793"/>
    <n v="5"/>
    <s v="Lombardia"/>
    <s v="SO"/>
    <s v="NORD"/>
    <n v="96"/>
    <x v="4"/>
  </r>
  <r>
    <d v="2014-01-30T00:00:00"/>
    <x v="0"/>
    <s v="Rimini"/>
    <s v="Cancelleria"/>
    <n v="1039"/>
    <n v="1"/>
    <s v="Emilia-Romagna"/>
    <s v="RN"/>
    <s v="NORD"/>
    <n v="70"/>
    <x v="2"/>
  </r>
  <r>
    <d v="2014-06-11T00:00:00"/>
    <x v="0"/>
    <s v="Vicenza"/>
    <s v="Art. Regalo"/>
    <n v="1114"/>
    <n v="5"/>
    <s v="Veneto"/>
    <s v="VI"/>
    <s v="NORD"/>
    <n v="70"/>
    <x v="2"/>
  </r>
  <r>
    <d v="2014-03-30T00:00:00"/>
    <x v="2"/>
    <s v="Pistoia"/>
    <s v="Cancelleria"/>
    <n v="643"/>
    <n v="1"/>
    <s v="Toscana"/>
    <s v="PT"/>
    <s v="CENTRO"/>
    <n v="83"/>
    <x v="3"/>
  </r>
  <r>
    <d v="2014-05-27T00:00:00"/>
    <x v="5"/>
    <s v="Reggio nell'Emilia"/>
    <s v="Cancelleria"/>
    <n v="328"/>
    <n v="4"/>
    <s v="Emilia-Romagna"/>
    <s v="RE"/>
    <s v="NORD"/>
    <n v="80"/>
    <x v="0"/>
  </r>
  <r>
    <d v="2014-06-08T00:00:00"/>
    <x v="1"/>
    <s v="Pesaro e Urbino"/>
    <s v="Art. Regalo"/>
    <n v="95"/>
    <n v="3"/>
    <s v="Marche"/>
    <s v="PS"/>
    <s v="CENTRO"/>
    <n v="87"/>
    <x v="0"/>
  </r>
  <r>
    <d v="2014-04-04T00:00:00"/>
    <x v="1"/>
    <s v="Treviso"/>
    <s v="Libri"/>
    <n v="270"/>
    <n v="5"/>
    <s v="Veneto"/>
    <s v="TV"/>
    <s v="NORD"/>
    <n v="87"/>
    <x v="0"/>
  </r>
  <r>
    <d v="2014-05-07T00:00:00"/>
    <x v="0"/>
    <s v="Sassari"/>
    <s v="Art. Regalo"/>
    <n v="1640"/>
    <n v="5"/>
    <s v="Sardegna"/>
    <s v="SS"/>
    <s v="ISOLE"/>
    <n v="70"/>
    <x v="4"/>
  </r>
  <r>
    <d v="2014-01-23T00:00:00"/>
    <x v="5"/>
    <s v="Trento"/>
    <s v="Cancelleria"/>
    <n v="759"/>
    <n v="2"/>
    <s v="Trentino-Alto Adige"/>
    <s v="TN"/>
    <s v="NORD"/>
    <n v="80"/>
    <x v="3"/>
  </r>
  <r>
    <d v="2014-05-24T00:00:00"/>
    <x v="2"/>
    <s v="Trapani"/>
    <s v="Informatica"/>
    <n v="1288"/>
    <n v="1"/>
    <s v="Sicilia"/>
    <s v="TP"/>
    <s v="ISOLE"/>
    <n v="83"/>
    <x v="1"/>
  </r>
  <r>
    <d v="2014-03-31T00:00:00"/>
    <x v="2"/>
    <s v="Viterbo"/>
    <s v="Libri"/>
    <n v="1857"/>
    <n v="3"/>
    <s v="Lazio"/>
    <s v="VT"/>
    <s v="CENTRO"/>
    <n v="83"/>
    <x v="4"/>
  </r>
  <r>
    <d v="2014-05-06T00:00:00"/>
    <x v="5"/>
    <s v="Torino"/>
    <s v="Giocattoli"/>
    <n v="1558"/>
    <n v="3"/>
    <s v="Piemonte"/>
    <s v="TO"/>
    <s v="NORD"/>
    <n v="80"/>
    <x v="4"/>
  </r>
  <r>
    <d v="2014-03-13T00:00:00"/>
    <x v="5"/>
    <s v="Potenza"/>
    <s v="Giocattoli"/>
    <n v="1879"/>
    <n v="3"/>
    <s v="Basilicata"/>
    <s v="PZ"/>
    <s v="SUD"/>
    <n v="80"/>
    <x v="4"/>
  </r>
  <r>
    <d v="2014-05-12T00:00:00"/>
    <x v="0"/>
    <s v="Salerno"/>
    <s v="Informatica"/>
    <n v="155"/>
    <n v="1"/>
    <s v="Campania"/>
    <s v="SA"/>
    <s v="SUD"/>
    <n v="70"/>
    <x v="0"/>
  </r>
  <r>
    <d v="2014-03-19T00:00:00"/>
    <x v="3"/>
    <s v="Sassari"/>
    <s v="Art. Regalo"/>
    <n v="1361"/>
    <n v="3"/>
    <s v="Sardegna"/>
    <s v="SS"/>
    <s v="ISOLE"/>
    <n v="96"/>
    <x v="1"/>
  </r>
  <r>
    <d v="2014-06-21T00:00:00"/>
    <x v="0"/>
    <s v="Vicenza"/>
    <s v="Libri"/>
    <n v="735"/>
    <n v="5"/>
    <s v="Veneto"/>
    <s v="VI"/>
    <s v="NORD"/>
    <n v="70"/>
    <x v="3"/>
  </r>
  <r>
    <d v="2014-05-18T00:00:00"/>
    <x v="3"/>
    <s v="Pisa"/>
    <s v="Cancelleria"/>
    <n v="1916"/>
    <n v="3"/>
    <s v="Toscana"/>
    <s v="PI"/>
    <s v="CENTRO"/>
    <n v="96"/>
    <x v="4"/>
  </r>
  <r>
    <d v="2014-03-18T00:00:00"/>
    <x v="1"/>
    <s v="Vicenza"/>
    <s v="Libri"/>
    <n v="1747"/>
    <n v="5"/>
    <s v="Veneto"/>
    <s v="VI"/>
    <s v="NORD"/>
    <n v="87"/>
    <x v="4"/>
  </r>
  <r>
    <d v="2014-01-21T00:00:00"/>
    <x v="3"/>
    <s v="Ragusa"/>
    <s v="Giocattoli"/>
    <n v="1313"/>
    <n v="4"/>
    <s v="Sicilia"/>
    <s v="RG"/>
    <s v="ISOLE"/>
    <n v="96"/>
    <x v="1"/>
  </r>
  <r>
    <d v="2014-03-14T00:00:00"/>
    <x v="0"/>
    <s v="Savona"/>
    <s v="Libri"/>
    <n v="1260"/>
    <n v="4"/>
    <s v="Liguria"/>
    <s v="SV"/>
    <s v="NORD"/>
    <n v="70"/>
    <x v="1"/>
  </r>
  <r>
    <d v="2014-05-28T00:00:00"/>
    <x v="5"/>
    <s v="Reggio nell'Emilia"/>
    <s v="Cancelleria"/>
    <n v="1484"/>
    <n v="2"/>
    <s v="Emilia-Romagna"/>
    <s v="RE"/>
    <s v="NORD"/>
    <n v="80"/>
    <x v="1"/>
  </r>
  <r>
    <d v="2014-04-10T00:00:00"/>
    <x v="5"/>
    <s v="Potenza"/>
    <s v="Art. Regalo"/>
    <n v="1887"/>
    <n v="5"/>
    <s v="Basilicata"/>
    <s v="PZ"/>
    <s v="SUD"/>
    <n v="80"/>
    <x v="4"/>
  </r>
  <r>
    <d v="2014-04-04T00:00:00"/>
    <x v="2"/>
    <s v="Vibo Valentia"/>
    <s v="Libri"/>
    <n v="1918"/>
    <n v="3"/>
    <s v="Calabria"/>
    <s v="VV"/>
    <s v="SUD"/>
    <n v="83"/>
    <x v="4"/>
  </r>
  <r>
    <d v="2014-06-08T00:00:00"/>
    <x v="5"/>
    <s v="Verbano-Cusio-Ossola"/>
    <s v="Giocattoli"/>
    <n v="934"/>
    <n v="2"/>
    <s v="Piemonte"/>
    <s v="VB"/>
    <s v="NORD"/>
    <n v="80"/>
    <x v="2"/>
  </r>
  <r>
    <d v="2014-03-01T00:00:00"/>
    <x v="4"/>
    <s v="Venezia"/>
    <s v="Cancelleria"/>
    <n v="503"/>
    <n v="5"/>
    <s v="Veneto"/>
    <s v="VE"/>
    <s v="NORD"/>
    <n v="84"/>
    <x v="3"/>
  </r>
  <r>
    <d v="2014-02-24T00:00:00"/>
    <x v="3"/>
    <s v="Viterbo"/>
    <s v="Libri"/>
    <n v="590"/>
    <n v="4"/>
    <s v="Lazio"/>
    <s v="VT"/>
    <s v="CENTRO"/>
    <n v="96"/>
    <x v="3"/>
  </r>
  <r>
    <d v="2014-04-21T00:00:00"/>
    <x v="0"/>
    <s v="Siena"/>
    <s v="Art. Regalo"/>
    <n v="1297"/>
    <n v="1"/>
    <s v="Toscana"/>
    <s v="SI"/>
    <s v="CENTRO"/>
    <n v="70"/>
    <x v="1"/>
  </r>
  <r>
    <d v="2014-04-13T00:00:00"/>
    <x v="3"/>
    <s v="Terni"/>
    <s v="Cancelleria"/>
    <n v="67"/>
    <n v="2"/>
    <s v="Umbria"/>
    <s v="TR"/>
    <s v="CENTRO"/>
    <n v="96"/>
    <x v="0"/>
  </r>
  <r>
    <d v="2014-02-11T00:00:00"/>
    <x v="0"/>
    <s v="Prato"/>
    <s v="Libri"/>
    <n v="1152"/>
    <n v="4"/>
    <s v="Toscana"/>
    <s v="PO"/>
    <s v="CENTRO"/>
    <n v="70"/>
    <x v="2"/>
  </r>
  <r>
    <d v="2014-01-29T00:00:00"/>
    <x v="4"/>
    <s v="Pavia"/>
    <s v="Cancelleria"/>
    <n v="401"/>
    <n v="2"/>
    <s v="Lombardia"/>
    <s v="PV"/>
    <s v="NORD"/>
    <n v="84"/>
    <x v="3"/>
  </r>
  <r>
    <d v="2014-03-23T00:00:00"/>
    <x v="3"/>
    <s v="Reggio di Calabria"/>
    <s v="Libri"/>
    <n v="596"/>
    <n v="3"/>
    <s v="Calabria"/>
    <s v="RC"/>
    <s v="SUD"/>
    <n v="96"/>
    <x v="3"/>
  </r>
  <r>
    <d v="2014-06-06T00:00:00"/>
    <x v="2"/>
    <s v="Prato"/>
    <s v="Informatica"/>
    <n v="1724"/>
    <n v="4"/>
    <s v="Toscana"/>
    <s v="PO"/>
    <s v="CENTRO"/>
    <n v="83"/>
    <x v="4"/>
  </r>
  <r>
    <d v="2014-01-04T00:00:00"/>
    <x v="5"/>
    <s v="Rimini"/>
    <s v="Informatica"/>
    <n v="721"/>
    <n v="3"/>
    <s v="Emilia-Romagna"/>
    <s v="RN"/>
    <s v="NORD"/>
    <n v="80"/>
    <x v="3"/>
  </r>
  <r>
    <d v="2014-06-15T00:00:00"/>
    <x v="1"/>
    <s v="Piacenza"/>
    <s v="Art. Regalo"/>
    <n v="939"/>
    <n v="3"/>
    <s v="Emilia-Romagna"/>
    <s v="PC"/>
    <s v="NORD"/>
    <n v="87"/>
    <x v="2"/>
  </r>
  <r>
    <d v="2014-01-18T00:00:00"/>
    <x v="3"/>
    <s v="Vercelli"/>
    <s v="Giocattoli"/>
    <n v="443"/>
    <n v="5"/>
    <s v="Piemonte"/>
    <s v="VC"/>
    <s v="NORD"/>
    <n v="96"/>
    <x v="3"/>
  </r>
  <r>
    <d v="2014-02-01T00:00:00"/>
    <x v="1"/>
    <s v="Reggio di Calabria"/>
    <s v="Giocattoli"/>
    <n v="986"/>
    <n v="5"/>
    <s v="Calabria"/>
    <s v="RC"/>
    <s v="SUD"/>
    <n v="87"/>
    <x v="2"/>
  </r>
  <r>
    <d v="2014-04-15T00:00:00"/>
    <x v="4"/>
    <s v="Reggio nell'Emilia"/>
    <s v="Cancelleria"/>
    <n v="90"/>
    <n v="1"/>
    <s v="Emilia-Romagna"/>
    <s v="RE"/>
    <s v="NORD"/>
    <n v="84"/>
    <x v="0"/>
  </r>
  <r>
    <d v="2014-06-11T00:00:00"/>
    <x v="0"/>
    <s v="Viterbo"/>
    <s v="Cancelleria"/>
    <n v="32"/>
    <n v="5"/>
    <s v="Lazio"/>
    <s v="VT"/>
    <s v="CENTRO"/>
    <n v="70"/>
    <x v="0"/>
  </r>
  <r>
    <d v="2014-04-16T00:00:00"/>
    <x v="0"/>
    <s v="Treviso"/>
    <s v="Giocattoli"/>
    <n v="968"/>
    <n v="1"/>
    <s v="Veneto"/>
    <s v="TV"/>
    <s v="NORD"/>
    <n v="70"/>
    <x v="2"/>
  </r>
  <r>
    <d v="2014-02-04T00:00:00"/>
    <x v="2"/>
    <s v="Sondrio"/>
    <s v="Art. Regalo"/>
    <n v="772"/>
    <n v="2"/>
    <s v="Lombardia"/>
    <s v="SO"/>
    <s v="NORD"/>
    <n v="83"/>
    <x v="3"/>
  </r>
  <r>
    <d v="2014-03-26T00:00:00"/>
    <x v="5"/>
    <s v="Trapani"/>
    <s v="Informatica"/>
    <n v="1838"/>
    <n v="3"/>
    <s v="Sicilia"/>
    <s v="TP"/>
    <s v="ISOLE"/>
    <n v="80"/>
    <x v="4"/>
  </r>
  <r>
    <d v="2014-06-26T00:00:00"/>
    <x v="1"/>
    <s v="Sondrio"/>
    <s v="Giocattoli"/>
    <n v="191"/>
    <n v="1"/>
    <s v="Lombardia"/>
    <s v="SO"/>
    <s v="NORD"/>
    <n v="87"/>
    <x v="0"/>
  </r>
  <r>
    <d v="2014-03-02T00:00:00"/>
    <x v="0"/>
    <s v="Verbano-Cusio-Ossola"/>
    <s v="Art. Regalo"/>
    <n v="1334"/>
    <n v="1"/>
    <s v="Piemonte"/>
    <s v="VB"/>
    <s v="NORD"/>
    <n v="70"/>
    <x v="1"/>
  </r>
  <r>
    <d v="2014-01-20T00:00:00"/>
    <x v="3"/>
    <s v="Torino"/>
    <s v="Informatica"/>
    <n v="1707"/>
    <n v="4"/>
    <s v="Piemonte"/>
    <s v="TO"/>
    <s v="NORD"/>
    <n v="96"/>
    <x v="4"/>
  </r>
  <r>
    <d v="2014-01-02T00:00:00"/>
    <x v="3"/>
    <s v="Rimini"/>
    <s v="Libri"/>
    <n v="897"/>
    <n v="2"/>
    <s v="Emilia-Romagna"/>
    <s v="RN"/>
    <s v="NORD"/>
    <n v="96"/>
    <x v="2"/>
  </r>
  <r>
    <d v="2014-06-02T00:00:00"/>
    <x v="3"/>
    <s v="Teramo"/>
    <s v="Informatica"/>
    <n v="816"/>
    <n v="1"/>
    <s v="Abruzzo"/>
    <s v="TE"/>
    <s v="CENTRO"/>
    <n v="96"/>
    <x v="2"/>
  </r>
  <r>
    <d v="2014-06-12T00:00:00"/>
    <x v="1"/>
    <s v="Vibo Valentia"/>
    <s v="Libri"/>
    <n v="1049"/>
    <n v="3"/>
    <s v="Calabria"/>
    <s v="VV"/>
    <s v="SUD"/>
    <n v="87"/>
    <x v="2"/>
  </r>
  <r>
    <d v="2014-05-03T00:00:00"/>
    <x v="3"/>
    <s v="Perugia"/>
    <s v="Libri"/>
    <n v="1037"/>
    <n v="4"/>
    <s v="Umbria"/>
    <s v="PG"/>
    <s v="CENTRO"/>
    <n v="96"/>
    <x v="2"/>
  </r>
  <r>
    <d v="2014-04-09T00:00:00"/>
    <x v="1"/>
    <s v="Pordenone"/>
    <s v="Giocattoli"/>
    <n v="1235"/>
    <n v="3"/>
    <s v="Friuli-Venezia Giulia"/>
    <s v="PN"/>
    <s v="NORD"/>
    <n v="87"/>
    <x v="1"/>
  </r>
  <r>
    <d v="2014-03-22T00:00:00"/>
    <x v="4"/>
    <s v="Udine"/>
    <s v="Cancelleria"/>
    <n v="294"/>
    <n v="3"/>
    <s v="Friuli-Venezia Giulia"/>
    <s v="UD"/>
    <s v="NORD"/>
    <n v="84"/>
    <x v="0"/>
  </r>
  <r>
    <d v="2014-03-17T00:00:00"/>
    <x v="5"/>
    <s v="Varese"/>
    <s v="Giocattoli"/>
    <n v="785"/>
    <n v="4"/>
    <s v="Lombardia"/>
    <s v="VA"/>
    <s v="NORD"/>
    <n v="80"/>
    <x v="3"/>
  </r>
  <r>
    <d v="2014-03-30T00:00:00"/>
    <x v="1"/>
    <s v="Pesaro e Urbino"/>
    <s v="Cancelleria"/>
    <n v="568"/>
    <n v="4"/>
    <s v="Marche"/>
    <s v="PS"/>
    <s v="CENTRO"/>
    <n v="87"/>
    <x v="3"/>
  </r>
  <r>
    <d v="2014-02-07T00:00:00"/>
    <x v="1"/>
    <s v="Torino"/>
    <s v="Art. Regalo"/>
    <n v="1932"/>
    <n v="3"/>
    <s v="Piemonte"/>
    <s v="TO"/>
    <s v="NORD"/>
    <n v="87"/>
    <x v="4"/>
  </r>
  <r>
    <d v="2014-02-07T00:00:00"/>
    <x v="0"/>
    <s v="Pistoia"/>
    <s v="Informatica"/>
    <n v="1124"/>
    <n v="4"/>
    <s v="Toscana"/>
    <s v="PT"/>
    <s v="CENTRO"/>
    <n v="70"/>
    <x v="2"/>
  </r>
  <r>
    <d v="2014-06-22T00:00:00"/>
    <x v="3"/>
    <s v="Sondrio"/>
    <s v="Cancelleria"/>
    <n v="920"/>
    <n v="1"/>
    <s v="Lombardia"/>
    <s v="SO"/>
    <s v="NORD"/>
    <n v="96"/>
    <x v="2"/>
  </r>
  <r>
    <d v="2014-03-25T00:00:00"/>
    <x v="0"/>
    <s v="Pavia"/>
    <s v="Art. Regalo"/>
    <n v="44"/>
    <n v="1"/>
    <s v="Lombardia"/>
    <s v="PV"/>
    <s v="NORD"/>
    <n v="70"/>
    <x v="0"/>
  </r>
  <r>
    <d v="2014-05-21T00:00:00"/>
    <x v="0"/>
    <s v="Piacenza"/>
    <s v="Art. Regalo"/>
    <n v="1261"/>
    <n v="1"/>
    <s v="Emilia-Romagna"/>
    <s v="PC"/>
    <s v="NORD"/>
    <n v="70"/>
    <x v="1"/>
  </r>
  <r>
    <d v="2014-01-22T00:00:00"/>
    <x v="2"/>
    <s v="Reggio nell'Emilia"/>
    <s v="Cancelleria"/>
    <n v="1283"/>
    <n v="4"/>
    <s v="Emilia-Romagna"/>
    <s v="RE"/>
    <s v="NORD"/>
    <n v="83"/>
    <x v="1"/>
  </r>
  <r>
    <d v="2014-03-23T00:00:00"/>
    <x v="5"/>
    <s v="Roma"/>
    <s v="Informatica"/>
    <n v="311"/>
    <n v="2"/>
    <s v="Lazio"/>
    <s v="RM"/>
    <s v="CENTRO"/>
    <n v="80"/>
    <x v="0"/>
  </r>
  <r>
    <d v="2014-05-12T00:00:00"/>
    <x v="3"/>
    <s v="Siracusa"/>
    <s v="Informatica"/>
    <n v="1164"/>
    <n v="5"/>
    <s v="Sicilia"/>
    <s v="SR"/>
    <s v="ISOLE"/>
    <n v="96"/>
    <x v="2"/>
  </r>
  <r>
    <d v="2014-04-14T00:00:00"/>
    <x v="4"/>
    <s v="Reggio di Calabria"/>
    <s v="Libri"/>
    <n v="1129"/>
    <n v="3"/>
    <s v="Calabria"/>
    <s v="RC"/>
    <s v="SUD"/>
    <n v="84"/>
    <x v="2"/>
  </r>
  <r>
    <d v="2014-02-13T00:00:00"/>
    <x v="0"/>
    <s v="Savona"/>
    <s v="Libri"/>
    <n v="1965"/>
    <n v="3"/>
    <s v="Liguria"/>
    <s v="SV"/>
    <s v="NORD"/>
    <n v="70"/>
    <x v="4"/>
  </r>
  <r>
    <d v="2014-04-20T00:00:00"/>
    <x v="5"/>
    <s v="Verona"/>
    <s v="Informatica"/>
    <n v="1812"/>
    <n v="3"/>
    <s v="Veneto"/>
    <s v="VR"/>
    <s v="NORD"/>
    <n v="80"/>
    <x v="4"/>
  </r>
  <r>
    <d v="2014-02-11T00:00:00"/>
    <x v="3"/>
    <s v="Reggio nell'Emilia"/>
    <s v="Cancelleria"/>
    <n v="1884"/>
    <n v="4"/>
    <s v="Emilia-Romagna"/>
    <s v="RE"/>
    <s v="NORD"/>
    <n v="96"/>
    <x v="4"/>
  </r>
  <r>
    <d v="2014-06-06T00:00:00"/>
    <x v="5"/>
    <s v="Salerno"/>
    <s v="Art. Regalo"/>
    <n v="1812"/>
    <n v="4"/>
    <s v="Campania"/>
    <s v="SA"/>
    <s v="SUD"/>
    <n v="80"/>
    <x v="4"/>
  </r>
  <r>
    <d v="2014-01-07T00:00:00"/>
    <x v="5"/>
    <s v="Pavia"/>
    <s v="Art. Regalo"/>
    <n v="76"/>
    <n v="3"/>
    <s v="Lombardia"/>
    <s v="PV"/>
    <s v="NORD"/>
    <n v="80"/>
    <x v="0"/>
  </r>
  <r>
    <d v="2014-06-28T00:00:00"/>
    <x v="4"/>
    <s v="Rieti"/>
    <s v="Art. Regalo"/>
    <n v="1827"/>
    <n v="3"/>
    <s v="Lazio"/>
    <s v="RI"/>
    <s v="CENTRO"/>
    <n v="84"/>
    <x v="4"/>
  </r>
  <r>
    <d v="2014-03-17T00:00:00"/>
    <x v="3"/>
    <s v="Treviso"/>
    <s v="Libri"/>
    <n v="491"/>
    <n v="4"/>
    <s v="Veneto"/>
    <s v="TV"/>
    <s v="NORD"/>
    <n v="96"/>
    <x v="3"/>
  </r>
  <r>
    <d v="2014-01-12T00:00:00"/>
    <x v="0"/>
    <s v="Viterbo"/>
    <s v="Art. Regalo"/>
    <n v="1965"/>
    <n v="4"/>
    <s v="Lazio"/>
    <s v="VT"/>
    <s v="CENTRO"/>
    <n v="70"/>
    <x v="4"/>
  </r>
  <r>
    <d v="2014-02-04T00:00:00"/>
    <x v="2"/>
    <s v="Vibo Valentia"/>
    <s v="Art. Regalo"/>
    <n v="862"/>
    <n v="5"/>
    <s v="Calabria"/>
    <s v="VV"/>
    <s v="SUD"/>
    <n v="83"/>
    <x v="2"/>
  </r>
  <r>
    <d v="2014-03-15T00:00:00"/>
    <x v="1"/>
    <s v="Verona"/>
    <s v="Giocattoli"/>
    <n v="403"/>
    <n v="3"/>
    <s v="Veneto"/>
    <s v="VR"/>
    <s v="NORD"/>
    <n v="87"/>
    <x v="3"/>
  </r>
  <r>
    <d v="2014-01-10T00:00:00"/>
    <x v="3"/>
    <s v="Piacenza"/>
    <s v="Libri"/>
    <n v="217"/>
    <n v="1"/>
    <s v="Emilia-Romagna"/>
    <s v="PC"/>
    <s v="NORD"/>
    <n v="96"/>
    <x v="0"/>
  </r>
  <r>
    <d v="2014-04-14T00:00:00"/>
    <x v="4"/>
    <s v="Reggio di Calabria"/>
    <s v="Cancelleria"/>
    <n v="1450"/>
    <n v="4"/>
    <s v="Calabria"/>
    <s v="RC"/>
    <s v="SUD"/>
    <n v="84"/>
    <x v="1"/>
  </r>
  <r>
    <d v="2014-01-11T00:00:00"/>
    <x v="0"/>
    <s v="Pescara"/>
    <s v="Informatica"/>
    <n v="549"/>
    <n v="3"/>
    <s v="Abruzzo"/>
    <s v="PE"/>
    <s v="CENTRO"/>
    <n v="70"/>
    <x v="3"/>
  </r>
  <r>
    <d v="2014-03-26T00:00:00"/>
    <x v="1"/>
    <s v="Pisa"/>
    <s v="Cancelleria"/>
    <n v="1829"/>
    <n v="5"/>
    <s v="Toscana"/>
    <s v="PI"/>
    <s v="CENTRO"/>
    <n v="87"/>
    <x v="4"/>
  </r>
  <r>
    <d v="2014-05-19T00:00:00"/>
    <x v="5"/>
    <s v="Pistoia"/>
    <s v="Informatica"/>
    <n v="411"/>
    <n v="1"/>
    <s v="Toscana"/>
    <s v="PT"/>
    <s v="CENTRO"/>
    <n v="80"/>
    <x v="3"/>
  </r>
  <r>
    <d v="2014-02-26T00:00:00"/>
    <x v="2"/>
    <s v="Terni"/>
    <s v="Giocattoli"/>
    <n v="146"/>
    <n v="1"/>
    <s v="Umbria"/>
    <s v="TR"/>
    <s v="CENTRO"/>
    <n v="83"/>
    <x v="0"/>
  </r>
  <r>
    <d v="2014-01-02T00:00:00"/>
    <x v="4"/>
    <s v="Salerno"/>
    <s v="Libri"/>
    <n v="1890"/>
    <n v="2"/>
    <s v="Campania"/>
    <s v="SA"/>
    <s v="SUD"/>
    <n v="84"/>
    <x v="4"/>
  </r>
  <r>
    <d v="2014-02-16T00:00:00"/>
    <x v="3"/>
    <s v="Ravenna"/>
    <s v="Libri"/>
    <n v="826"/>
    <n v="5"/>
    <s v="Emilia-Romagna"/>
    <s v="RA"/>
    <s v="NORD"/>
    <n v="96"/>
    <x v="2"/>
  </r>
  <r>
    <d v="2014-06-21T00:00:00"/>
    <x v="0"/>
    <s v="Pordenone"/>
    <s v="Informatica"/>
    <n v="1693"/>
    <n v="1"/>
    <s v="Friuli-Venezia Giulia"/>
    <s v="PN"/>
    <s v="NORD"/>
    <n v="70"/>
    <x v="4"/>
  </r>
  <r>
    <d v="2014-02-28T00:00:00"/>
    <x v="1"/>
    <s v="Prato"/>
    <s v="Libri"/>
    <n v="1710"/>
    <n v="2"/>
    <s v="Toscana"/>
    <s v="PO"/>
    <s v="CENTRO"/>
    <n v="87"/>
    <x v="4"/>
  </r>
  <r>
    <d v="2014-01-12T00:00:00"/>
    <x v="2"/>
    <s v="Pescara"/>
    <s v="Giocattoli"/>
    <n v="1921"/>
    <n v="5"/>
    <s v="Abruzzo"/>
    <s v="PE"/>
    <s v="CENTRO"/>
    <n v="83"/>
    <x v="4"/>
  </r>
  <r>
    <d v="2014-05-10T00:00:00"/>
    <x v="2"/>
    <s v="Ravenna"/>
    <s v="Informatica"/>
    <n v="1427"/>
    <n v="4"/>
    <s v="Emilia-Romagna"/>
    <s v="RA"/>
    <s v="NORD"/>
    <n v="83"/>
    <x v="1"/>
  </r>
  <r>
    <d v="2014-06-22T00:00:00"/>
    <x v="5"/>
    <s v="Viterbo"/>
    <s v="Libri"/>
    <n v="1205"/>
    <n v="5"/>
    <s v="Lazio"/>
    <s v="VT"/>
    <s v="CENTRO"/>
    <n v="80"/>
    <x v="1"/>
  </r>
  <r>
    <d v="2014-01-07T00:00:00"/>
    <x v="1"/>
    <s v="Prato"/>
    <s v="Giocattoli"/>
    <n v="1697"/>
    <n v="1"/>
    <s v="Toscana"/>
    <s v="PO"/>
    <s v="CENTRO"/>
    <n v="87"/>
    <x v="4"/>
  </r>
  <r>
    <d v="2014-06-17T00:00:00"/>
    <x v="3"/>
    <s v="Verona"/>
    <s v="Cancelleria"/>
    <n v="1576"/>
    <n v="5"/>
    <s v="Veneto"/>
    <s v="VR"/>
    <s v="NORD"/>
    <n v="96"/>
    <x v="4"/>
  </r>
  <r>
    <d v="2014-03-01T00:00:00"/>
    <x v="5"/>
    <s v="Rimini"/>
    <s v="Art. Regalo"/>
    <n v="1520"/>
    <n v="5"/>
    <s v="Emilia-Romagna"/>
    <s v="RN"/>
    <s v="NORD"/>
    <n v="80"/>
    <x v="4"/>
  </r>
  <r>
    <d v="2014-02-10T00:00:00"/>
    <x v="2"/>
    <s v="Terni"/>
    <s v="Art. Regalo"/>
    <n v="115"/>
    <n v="1"/>
    <s v="Umbria"/>
    <s v="TR"/>
    <s v="CENTRO"/>
    <n v="83"/>
    <x v="0"/>
  </r>
  <r>
    <d v="2014-06-28T00:00:00"/>
    <x v="0"/>
    <s v="Trapani"/>
    <s v="Cancelleria"/>
    <n v="898"/>
    <n v="2"/>
    <s v="Sicilia"/>
    <s v="TP"/>
    <s v="ISOLE"/>
    <n v="70"/>
    <x v="2"/>
  </r>
  <r>
    <d v="2014-05-07T00:00:00"/>
    <x v="2"/>
    <s v="Terni"/>
    <s v="Cancelleria"/>
    <n v="1505"/>
    <n v="2"/>
    <s v="Umbria"/>
    <s v="TR"/>
    <s v="CENTRO"/>
    <n v="83"/>
    <x v="4"/>
  </r>
  <r>
    <d v="2014-01-11T00:00:00"/>
    <x v="5"/>
    <s v="Trieste"/>
    <s v="Art. Regalo"/>
    <n v="977"/>
    <n v="5"/>
    <s v="Friuli-Venezia Giulia"/>
    <s v="TS"/>
    <s v="NORD"/>
    <n v="80"/>
    <x v="2"/>
  </r>
  <r>
    <d v="2014-03-28T00:00:00"/>
    <x v="1"/>
    <s v="Rieti"/>
    <s v="Art. Regalo"/>
    <n v="724"/>
    <n v="1"/>
    <s v="Lazio"/>
    <s v="RI"/>
    <s v="CENTRO"/>
    <n v="87"/>
    <x v="3"/>
  </r>
  <r>
    <d v="2014-04-09T00:00:00"/>
    <x v="0"/>
    <s v="Pistoia"/>
    <s v="Informatica"/>
    <n v="760"/>
    <n v="5"/>
    <s v="Toscana"/>
    <s v="PT"/>
    <s v="CENTRO"/>
    <n v="70"/>
    <x v="3"/>
  </r>
  <r>
    <d v="2014-06-03T00:00:00"/>
    <x v="1"/>
    <s v="Pavia"/>
    <s v="Giocattoli"/>
    <n v="403"/>
    <n v="4"/>
    <s v="Lombardia"/>
    <s v="PV"/>
    <s v="NORD"/>
    <n v="87"/>
    <x v="3"/>
  </r>
  <r>
    <d v="2014-01-14T00:00:00"/>
    <x v="0"/>
    <s v="Salerno"/>
    <s v="Art. Regalo"/>
    <n v="805"/>
    <n v="1"/>
    <s v="Campania"/>
    <s v="SA"/>
    <s v="SUD"/>
    <n v="70"/>
    <x v="2"/>
  </r>
  <r>
    <d v="2014-06-02T00:00:00"/>
    <x v="0"/>
    <s v="Siena"/>
    <s v="Giocattoli"/>
    <n v="1908"/>
    <n v="5"/>
    <s v="Toscana"/>
    <s v="SI"/>
    <s v="CENTRO"/>
    <n v="70"/>
    <x v="4"/>
  </r>
  <r>
    <d v="2014-03-15T00:00:00"/>
    <x v="4"/>
    <s v="Salerno"/>
    <s v="Libri"/>
    <n v="913"/>
    <n v="3"/>
    <s v="Campania"/>
    <s v="SA"/>
    <s v="SUD"/>
    <n v="84"/>
    <x v="2"/>
  </r>
  <r>
    <d v="2014-04-02T00:00:00"/>
    <x v="2"/>
    <s v="Vercelli"/>
    <s v="Art. Regalo"/>
    <n v="1977"/>
    <n v="2"/>
    <s v="Piemonte"/>
    <s v="VC"/>
    <s v="NORD"/>
    <n v="83"/>
    <x v="4"/>
  </r>
  <r>
    <d v="2014-04-26T00:00:00"/>
    <x v="3"/>
    <s v="Rimini"/>
    <s v="Informatica"/>
    <n v="1018"/>
    <n v="2"/>
    <s v="Emilia-Romagna"/>
    <s v="RN"/>
    <s v="NORD"/>
    <n v="96"/>
    <x v="2"/>
  </r>
  <r>
    <d v="2014-02-28T00:00:00"/>
    <x v="5"/>
    <s v="Venezia"/>
    <s v="Art. Regalo"/>
    <n v="1658"/>
    <n v="2"/>
    <s v="Veneto"/>
    <s v="VE"/>
    <s v="NORD"/>
    <n v="80"/>
    <x v="4"/>
  </r>
  <r>
    <d v="2014-05-19T00:00:00"/>
    <x v="2"/>
    <s v="Prato"/>
    <s v="Giocattoli"/>
    <n v="833"/>
    <n v="5"/>
    <s v="Toscana"/>
    <s v="PO"/>
    <s v="CENTRO"/>
    <n v="83"/>
    <x v="2"/>
  </r>
  <r>
    <d v="2014-02-08T00:00:00"/>
    <x v="2"/>
    <s v="Vicenza"/>
    <s v="Libri"/>
    <n v="718"/>
    <n v="5"/>
    <s v="Veneto"/>
    <s v="VI"/>
    <s v="NORD"/>
    <n v="83"/>
    <x v="3"/>
  </r>
  <r>
    <d v="2014-06-04T00:00:00"/>
    <x v="2"/>
    <s v="Verbano-Cusio-Ossola"/>
    <s v="Libri"/>
    <n v="515"/>
    <n v="3"/>
    <s v="Piemonte"/>
    <s v="VB"/>
    <s v="NORD"/>
    <n v="83"/>
    <x v="3"/>
  </r>
  <r>
    <d v="2014-02-07T00:00:00"/>
    <x v="4"/>
    <s v="Viterbo"/>
    <s v="Giocattoli"/>
    <n v="259"/>
    <n v="3"/>
    <s v="Lazio"/>
    <s v="VT"/>
    <s v="CENTRO"/>
    <n v="84"/>
    <x v="0"/>
  </r>
  <r>
    <d v="2014-05-16T00:00:00"/>
    <x v="2"/>
    <s v="Prato"/>
    <s v="Art. Regalo"/>
    <n v="660"/>
    <n v="4"/>
    <s v="Toscana"/>
    <s v="PO"/>
    <s v="CENTRO"/>
    <n v="83"/>
    <x v="3"/>
  </r>
  <r>
    <d v="2014-06-10T00:00:00"/>
    <x v="3"/>
    <s v="Udine"/>
    <s v="Cancelleria"/>
    <n v="31"/>
    <n v="2"/>
    <s v="Friuli-Venezia Giulia"/>
    <s v="UD"/>
    <s v="NORD"/>
    <n v="96"/>
    <x v="0"/>
  </r>
  <r>
    <d v="2014-02-25T00:00:00"/>
    <x v="1"/>
    <s v="Venezia"/>
    <s v="Giocattoli"/>
    <n v="1889"/>
    <n v="4"/>
    <s v="Veneto"/>
    <s v="VE"/>
    <s v="NORD"/>
    <n v="87"/>
    <x v="4"/>
  </r>
  <r>
    <d v="2014-05-24T00:00:00"/>
    <x v="2"/>
    <s v="Roma"/>
    <s v="Cancelleria"/>
    <n v="1163"/>
    <n v="1"/>
    <s v="Lazio"/>
    <s v="RM"/>
    <s v="CENTRO"/>
    <n v="83"/>
    <x v="2"/>
  </r>
  <r>
    <d v="2014-06-08T00:00:00"/>
    <x v="5"/>
    <s v="Rimini"/>
    <s v="Libri"/>
    <n v="1896"/>
    <n v="1"/>
    <s v="Emilia-Romagna"/>
    <s v="RN"/>
    <s v="NORD"/>
    <n v="80"/>
    <x v="4"/>
  </r>
  <r>
    <d v="2014-06-17T00:00:00"/>
    <x v="1"/>
    <s v="Viterbo"/>
    <s v="Art. Regalo"/>
    <n v="175"/>
    <n v="1"/>
    <s v="Lazio"/>
    <s v="VT"/>
    <s v="CENTRO"/>
    <n v="87"/>
    <x v="0"/>
  </r>
  <r>
    <d v="2014-02-24T00:00:00"/>
    <x v="2"/>
    <s v="Udine"/>
    <s v="Informatica"/>
    <n v="806"/>
    <n v="5"/>
    <s v="Friuli-Venezia Giulia"/>
    <s v="UD"/>
    <s v="NORD"/>
    <n v="83"/>
    <x v="2"/>
  </r>
  <r>
    <d v="2014-06-29T00:00:00"/>
    <x v="3"/>
    <s v="Perugia"/>
    <s v="Art. Regalo"/>
    <n v="992"/>
    <n v="3"/>
    <s v="Umbria"/>
    <s v="PG"/>
    <s v="CENTRO"/>
    <n v="96"/>
    <x v="2"/>
  </r>
  <r>
    <d v="2014-01-08T00:00:00"/>
    <x v="4"/>
    <s v="Verona"/>
    <s v="Cancelleria"/>
    <n v="885"/>
    <n v="2"/>
    <s v="Veneto"/>
    <s v="VR"/>
    <s v="NORD"/>
    <n v="84"/>
    <x v="2"/>
  </r>
  <r>
    <d v="2014-02-11T00:00:00"/>
    <x v="1"/>
    <s v="Taranto"/>
    <s v="Informatica"/>
    <n v="502"/>
    <n v="2"/>
    <s v="Puglia"/>
    <s v="TA"/>
    <s v="SUD"/>
    <n v="87"/>
    <x v="3"/>
  </r>
  <r>
    <d v="2014-06-06T00:00:00"/>
    <x v="0"/>
    <s v="Salerno"/>
    <s v="Giocattoli"/>
    <n v="71"/>
    <n v="3"/>
    <s v="Campania"/>
    <s v="SA"/>
    <s v="SUD"/>
    <n v="70"/>
    <x v="0"/>
  </r>
  <r>
    <d v="2014-01-10T00:00:00"/>
    <x v="4"/>
    <s v="Sondrio"/>
    <s v="Libri"/>
    <n v="411"/>
    <n v="4"/>
    <s v="Lombardia"/>
    <s v="SO"/>
    <s v="NORD"/>
    <n v="84"/>
    <x v="3"/>
  </r>
  <r>
    <d v="2014-05-31T00:00:00"/>
    <x v="1"/>
    <s v="Sassari"/>
    <s v="Libri"/>
    <n v="1343"/>
    <n v="2"/>
    <s v="Sardegna"/>
    <s v="SS"/>
    <s v="ISOLE"/>
    <n v="87"/>
    <x v="1"/>
  </r>
  <r>
    <d v="2014-05-26T00:00:00"/>
    <x v="1"/>
    <s v="Teramo"/>
    <s v="Libri"/>
    <n v="1052"/>
    <n v="4"/>
    <s v="Abruzzo"/>
    <s v="TE"/>
    <s v="CENTRO"/>
    <n v="87"/>
    <x v="2"/>
  </r>
  <r>
    <d v="2014-03-04T00:00:00"/>
    <x v="0"/>
    <s v="Vicenza"/>
    <s v="Informatica"/>
    <n v="993"/>
    <n v="4"/>
    <s v="Veneto"/>
    <s v="VI"/>
    <s v="NORD"/>
    <n v="70"/>
    <x v="2"/>
  </r>
  <r>
    <d v="2014-06-26T00:00:00"/>
    <x v="2"/>
    <s v="Verona"/>
    <s v="Cancelleria"/>
    <n v="1404"/>
    <n v="3"/>
    <s v="Veneto"/>
    <s v="VR"/>
    <s v="NORD"/>
    <n v="83"/>
    <x v="1"/>
  </r>
  <r>
    <d v="2014-06-28T00:00:00"/>
    <x v="4"/>
    <s v="Roma"/>
    <s v="Informatica"/>
    <n v="436"/>
    <n v="1"/>
    <s v="Lazio"/>
    <s v="RM"/>
    <s v="CENTRO"/>
    <n v="84"/>
    <x v="3"/>
  </r>
  <r>
    <d v="2014-03-03T00:00:00"/>
    <x v="4"/>
    <s v="Trieste"/>
    <s v="Cancelleria"/>
    <n v="771"/>
    <n v="2"/>
    <s v="Friuli-Venezia Giulia"/>
    <s v="TS"/>
    <s v="NORD"/>
    <n v="84"/>
    <x v="3"/>
  </r>
  <r>
    <d v="2014-05-03T00:00:00"/>
    <x v="5"/>
    <s v="Pordenone"/>
    <s v="Libri"/>
    <n v="503"/>
    <n v="5"/>
    <s v="Friuli-Venezia Giulia"/>
    <s v="PN"/>
    <s v="NORD"/>
    <n v="80"/>
    <x v="3"/>
  </r>
  <r>
    <d v="2014-03-27T00:00:00"/>
    <x v="1"/>
    <s v="Reggio nell'Emilia"/>
    <s v="Informatica"/>
    <n v="1906"/>
    <n v="1"/>
    <s v="Emilia-Romagna"/>
    <s v="RE"/>
    <s v="NORD"/>
    <n v="87"/>
    <x v="4"/>
  </r>
  <r>
    <d v="2014-04-10T00:00:00"/>
    <x v="4"/>
    <s v="Trapani"/>
    <s v="Informatica"/>
    <n v="1213"/>
    <n v="3"/>
    <s v="Sicilia"/>
    <s v="TP"/>
    <s v="ISOLE"/>
    <n v="84"/>
    <x v="1"/>
  </r>
  <r>
    <d v="2014-02-11T00:00:00"/>
    <x v="2"/>
    <s v="Siena"/>
    <s v="Libri"/>
    <n v="1215"/>
    <n v="2"/>
    <s v="Toscana"/>
    <s v="SI"/>
    <s v="CENTRO"/>
    <n v="83"/>
    <x v="1"/>
  </r>
  <r>
    <d v="2014-06-29T00:00:00"/>
    <x v="1"/>
    <s v="Verona"/>
    <s v="Art. Regalo"/>
    <n v="1186"/>
    <n v="1"/>
    <s v="Veneto"/>
    <s v="VR"/>
    <s v="NORD"/>
    <n v="87"/>
    <x v="2"/>
  </r>
  <r>
    <d v="2014-03-28T00:00:00"/>
    <x v="0"/>
    <s v="Ragusa"/>
    <s v="Informatica"/>
    <n v="1616"/>
    <n v="2"/>
    <s v="Sicilia"/>
    <s v="RG"/>
    <s v="ISOLE"/>
    <n v="70"/>
    <x v="4"/>
  </r>
  <r>
    <d v="2014-04-05T00:00:00"/>
    <x v="1"/>
    <s v="Sondrio"/>
    <s v="Cancelleria"/>
    <n v="1614"/>
    <n v="3"/>
    <s v="Lombardia"/>
    <s v="SO"/>
    <s v="NORD"/>
    <n v="87"/>
    <x v="4"/>
  </r>
  <r>
    <d v="2014-01-13T00:00:00"/>
    <x v="5"/>
    <s v="Savona"/>
    <s v="Informatica"/>
    <n v="744"/>
    <n v="5"/>
    <s v="Liguria"/>
    <s v="SV"/>
    <s v="NORD"/>
    <n v="80"/>
    <x v="3"/>
  </r>
  <r>
    <d v="2014-05-03T00:00:00"/>
    <x v="1"/>
    <s v="Varese"/>
    <s v="Art. Regalo"/>
    <n v="1277"/>
    <n v="1"/>
    <s v="Lombardia"/>
    <s v="VA"/>
    <s v="NORD"/>
    <n v="87"/>
    <x v="1"/>
  </r>
  <r>
    <d v="2014-05-22T00:00:00"/>
    <x v="5"/>
    <s v="Ragusa"/>
    <s v="Cancelleria"/>
    <n v="1520"/>
    <n v="3"/>
    <s v="Sicilia"/>
    <s v="RG"/>
    <s v="ISOLE"/>
    <n v="80"/>
    <x v="4"/>
  </r>
  <r>
    <d v="2014-01-17T00:00:00"/>
    <x v="1"/>
    <s v="Treviso"/>
    <s v="Cancelleria"/>
    <n v="254"/>
    <n v="2"/>
    <s v="Veneto"/>
    <s v="TV"/>
    <s v="NORD"/>
    <n v="87"/>
    <x v="0"/>
  </r>
  <r>
    <d v="2014-05-13T00:00:00"/>
    <x v="0"/>
    <s v="Salerno"/>
    <s v="Giocattoli"/>
    <n v="253"/>
    <n v="3"/>
    <s v="Campania"/>
    <s v="SA"/>
    <s v="SUD"/>
    <n v="70"/>
    <x v="0"/>
  </r>
  <r>
    <d v="2014-06-10T00:00:00"/>
    <x v="3"/>
    <s v="Pistoia"/>
    <s v="Giocattoli"/>
    <n v="1802"/>
    <n v="3"/>
    <s v="Toscana"/>
    <s v="PT"/>
    <s v="CENTRO"/>
    <n v="96"/>
    <x v="4"/>
  </r>
  <r>
    <d v="2014-01-11T00:00:00"/>
    <x v="4"/>
    <s v="Vercelli"/>
    <s v="Libri"/>
    <n v="580"/>
    <n v="5"/>
    <s v="Piemonte"/>
    <s v="VC"/>
    <s v="NORD"/>
    <n v="84"/>
    <x v="3"/>
  </r>
  <r>
    <d v="2014-05-19T00:00:00"/>
    <x v="0"/>
    <s v="Pordenone"/>
    <s v="Cancelleria"/>
    <n v="938"/>
    <n v="5"/>
    <s v="Friuli-Venezia Giulia"/>
    <s v="PN"/>
    <s v="NORD"/>
    <n v="70"/>
    <x v="2"/>
  </r>
  <r>
    <d v="2014-02-12T00:00:00"/>
    <x v="5"/>
    <s v="Piacenza"/>
    <s v="Informatica"/>
    <n v="1390"/>
    <n v="4"/>
    <s v="Emilia-Romagna"/>
    <s v="PC"/>
    <s v="NORD"/>
    <n v="80"/>
    <x v="1"/>
  </r>
  <r>
    <d v="2014-04-24T00:00:00"/>
    <x v="2"/>
    <s v="Reggio di Calabria"/>
    <s v="Informatica"/>
    <n v="1315"/>
    <n v="2"/>
    <s v="Calabria"/>
    <s v="RC"/>
    <s v="SUD"/>
    <n v="83"/>
    <x v="1"/>
  </r>
  <r>
    <d v="2014-06-29T00:00:00"/>
    <x v="5"/>
    <s v="Savona"/>
    <s v="Libri"/>
    <n v="1670"/>
    <n v="3"/>
    <s v="Liguria"/>
    <s v="SV"/>
    <s v="NORD"/>
    <n v="80"/>
    <x v="4"/>
  </r>
  <r>
    <d v="2014-06-14T00:00:00"/>
    <x v="5"/>
    <s v="Varese"/>
    <s v="Cancelleria"/>
    <n v="1691"/>
    <n v="3"/>
    <s v="Lombardia"/>
    <s v="VA"/>
    <s v="NORD"/>
    <n v="80"/>
    <x v="4"/>
  </r>
  <r>
    <d v="2014-03-03T00:00:00"/>
    <x v="0"/>
    <s v="Rimini"/>
    <s v="Informatica"/>
    <n v="1313"/>
    <n v="3"/>
    <s v="Emilia-Romagna"/>
    <s v="RN"/>
    <s v="NORD"/>
    <n v="70"/>
    <x v="1"/>
  </r>
  <r>
    <d v="2014-06-09T00:00:00"/>
    <x v="3"/>
    <s v="Pordenone"/>
    <s v="Informatica"/>
    <n v="789"/>
    <n v="4"/>
    <s v="Friuli-Venezia Giulia"/>
    <s v="PN"/>
    <s v="NORD"/>
    <n v="96"/>
    <x v="3"/>
  </r>
  <r>
    <d v="2014-03-02T00:00:00"/>
    <x v="5"/>
    <s v="Teramo"/>
    <s v="Libri"/>
    <n v="135"/>
    <n v="5"/>
    <s v="Abruzzo"/>
    <s v="TE"/>
    <s v="CENTRO"/>
    <n v="80"/>
    <x v="0"/>
  </r>
  <r>
    <d v="2014-02-06T00:00:00"/>
    <x v="1"/>
    <s v="Siracusa"/>
    <s v="Art. Regalo"/>
    <n v="1583"/>
    <n v="5"/>
    <s v="Sicilia"/>
    <s v="SR"/>
    <s v="ISOLE"/>
    <n v="87"/>
    <x v="4"/>
  </r>
  <r>
    <d v="2014-03-08T00:00:00"/>
    <x v="4"/>
    <s v="Varese"/>
    <s v="Art. Regalo"/>
    <n v="1857"/>
    <n v="1"/>
    <s v="Lombardia"/>
    <s v="VA"/>
    <s v="NORD"/>
    <n v="84"/>
    <x v="4"/>
  </r>
  <r>
    <d v="2014-03-03T00:00:00"/>
    <x v="0"/>
    <s v="Trieste"/>
    <s v="Informatica"/>
    <n v="1655"/>
    <n v="3"/>
    <s v="Friuli-Venezia Giulia"/>
    <s v="TS"/>
    <s v="NORD"/>
    <n v="70"/>
    <x v="4"/>
  </r>
  <r>
    <d v="2014-05-18T00:00:00"/>
    <x v="5"/>
    <s v="Verona"/>
    <s v="Cancelleria"/>
    <n v="727"/>
    <n v="3"/>
    <s v="Veneto"/>
    <s v="VR"/>
    <s v="NORD"/>
    <n v="80"/>
    <x v="3"/>
  </r>
  <r>
    <d v="2014-02-27T00:00:00"/>
    <x v="5"/>
    <s v="Pesaro e Urbino"/>
    <s v="Cancelleria"/>
    <n v="1637"/>
    <n v="3"/>
    <s v="Marche"/>
    <s v="PS"/>
    <s v="CENTRO"/>
    <n v="80"/>
    <x v="4"/>
  </r>
  <r>
    <d v="2014-06-06T00:00:00"/>
    <x v="4"/>
    <s v="Piacenza"/>
    <s v="Informatica"/>
    <n v="456"/>
    <n v="5"/>
    <s v="Emilia-Romagna"/>
    <s v="PC"/>
    <s v="NORD"/>
    <n v="84"/>
    <x v="3"/>
  </r>
  <r>
    <d v="2014-03-10T00:00:00"/>
    <x v="4"/>
    <s v="Treviso"/>
    <s v="Cancelleria"/>
    <n v="1109"/>
    <n v="5"/>
    <s v="Veneto"/>
    <s v="TV"/>
    <s v="NORD"/>
    <n v="84"/>
    <x v="2"/>
  </r>
  <r>
    <d v="2014-06-28T00:00:00"/>
    <x v="3"/>
    <s v="Prato"/>
    <s v="Cancelleria"/>
    <n v="1593"/>
    <n v="4"/>
    <s v="Toscana"/>
    <s v="PO"/>
    <s v="CENTRO"/>
    <n v="96"/>
    <x v="4"/>
  </r>
  <r>
    <d v="2014-05-27T00:00:00"/>
    <x v="5"/>
    <s v="Rovigo"/>
    <s v="Cancelleria"/>
    <n v="686"/>
    <n v="1"/>
    <s v="Veneto"/>
    <s v="RO"/>
    <s v="NORD"/>
    <n v="80"/>
    <x v="3"/>
  </r>
  <r>
    <d v="2014-04-24T00:00:00"/>
    <x v="2"/>
    <s v="Siena"/>
    <s v="Libri"/>
    <n v="155"/>
    <n v="4"/>
    <s v="Toscana"/>
    <s v="SI"/>
    <s v="CENTRO"/>
    <n v="83"/>
    <x v="0"/>
  </r>
  <r>
    <d v="2014-02-15T00:00:00"/>
    <x v="1"/>
    <s v="Siracusa"/>
    <s v="Art. Regalo"/>
    <n v="686"/>
    <n v="2"/>
    <s v="Sicilia"/>
    <s v="SR"/>
    <s v="ISOLE"/>
    <n v="87"/>
    <x v="3"/>
  </r>
  <r>
    <d v="2014-04-14T00:00:00"/>
    <x v="1"/>
    <s v="Potenza"/>
    <s v="Art. Regalo"/>
    <n v="450"/>
    <n v="1"/>
    <s v="Basilicata"/>
    <s v="PZ"/>
    <s v="SUD"/>
    <n v="87"/>
    <x v="3"/>
  </r>
  <r>
    <d v="2014-06-15T00:00:00"/>
    <x v="0"/>
    <s v="Torino"/>
    <s v="Cancelleria"/>
    <n v="478"/>
    <n v="4"/>
    <s v="Piemonte"/>
    <s v="TO"/>
    <s v="NORD"/>
    <n v="70"/>
    <x v="3"/>
  </r>
  <r>
    <d v="2014-03-06T00:00:00"/>
    <x v="2"/>
    <s v="Sassari"/>
    <s v="Cancelleria"/>
    <n v="939"/>
    <n v="5"/>
    <s v="Sardegna"/>
    <s v="SS"/>
    <s v="ISOLE"/>
    <n v="83"/>
    <x v="2"/>
  </r>
  <r>
    <d v="2014-02-16T00:00:00"/>
    <x v="5"/>
    <s v="Reggio di Calabria"/>
    <s v="Art. Regalo"/>
    <n v="1608"/>
    <n v="2"/>
    <s v="Calabria"/>
    <s v="RC"/>
    <s v="SUD"/>
    <n v="80"/>
    <x v="4"/>
  </r>
  <r>
    <d v="2014-01-10T00:00:00"/>
    <x v="2"/>
    <s v="Varese"/>
    <s v="Libri"/>
    <n v="1791"/>
    <n v="2"/>
    <s v="Lombardia"/>
    <s v="VA"/>
    <s v="NORD"/>
    <n v="83"/>
    <x v="4"/>
  </r>
  <r>
    <d v="2014-05-17T00:00:00"/>
    <x v="4"/>
    <s v="Vercelli"/>
    <s v="Cancelleria"/>
    <n v="371"/>
    <n v="2"/>
    <s v="Piemonte"/>
    <s v="VC"/>
    <s v="NORD"/>
    <n v="84"/>
    <x v="0"/>
  </r>
  <r>
    <d v="2014-01-28T00:00:00"/>
    <x v="3"/>
    <s v="Reggio di Calabria"/>
    <s v="Cancelleria"/>
    <n v="1407"/>
    <n v="1"/>
    <s v="Calabria"/>
    <s v="RC"/>
    <s v="SUD"/>
    <n v="96"/>
    <x v="1"/>
  </r>
  <r>
    <d v="2014-05-22T00:00:00"/>
    <x v="5"/>
    <s v="Vercelli"/>
    <s v="Libri"/>
    <n v="1909"/>
    <n v="4"/>
    <s v="Piemonte"/>
    <s v="VC"/>
    <s v="NORD"/>
    <n v="80"/>
    <x v="4"/>
  </r>
  <r>
    <d v="2014-05-16T00:00:00"/>
    <x v="4"/>
    <s v="Perugia"/>
    <s v="Giocattoli"/>
    <n v="1715"/>
    <n v="2"/>
    <s v="Umbria"/>
    <s v="PG"/>
    <s v="CENTRO"/>
    <n v="84"/>
    <x v="4"/>
  </r>
  <r>
    <d v="2014-02-13T00:00:00"/>
    <x v="5"/>
    <s v="Vibo Valentia"/>
    <s v="Cancelleria"/>
    <n v="1145"/>
    <n v="2"/>
    <s v="Calabria"/>
    <s v="VV"/>
    <s v="SUD"/>
    <n v="80"/>
    <x v="2"/>
  </r>
  <r>
    <d v="2014-04-29T00:00:00"/>
    <x v="5"/>
    <s v="Potenza"/>
    <s v="Cancelleria"/>
    <n v="925"/>
    <n v="3"/>
    <s v="Basilicata"/>
    <s v="PZ"/>
    <s v="SUD"/>
    <n v="80"/>
    <x v="2"/>
  </r>
  <r>
    <d v="2014-06-27T00:00:00"/>
    <x v="3"/>
    <s v="Verbano-Cusio-Ossola"/>
    <s v="Libri"/>
    <n v="547"/>
    <n v="5"/>
    <s v="Piemonte"/>
    <s v="VB"/>
    <s v="NORD"/>
    <n v="96"/>
    <x v="3"/>
  </r>
  <r>
    <d v="2014-01-26T00:00:00"/>
    <x v="1"/>
    <s v="Terni"/>
    <s v="Giocattoli"/>
    <n v="1961"/>
    <n v="5"/>
    <s v="Umbria"/>
    <s v="TR"/>
    <s v="CENTRO"/>
    <n v="87"/>
    <x v="4"/>
  </r>
  <r>
    <d v="2014-04-05T00:00:00"/>
    <x v="5"/>
    <s v="Trieste"/>
    <s v="Art. Regalo"/>
    <n v="184"/>
    <n v="5"/>
    <s v="Friuli-Venezia Giulia"/>
    <s v="TS"/>
    <s v="NORD"/>
    <n v="80"/>
    <x v="0"/>
  </r>
  <r>
    <d v="2014-03-26T00:00:00"/>
    <x v="5"/>
    <s v="Ragusa"/>
    <s v="Libri"/>
    <n v="163"/>
    <n v="1"/>
    <s v="Sicilia"/>
    <s v="RG"/>
    <s v="ISOLE"/>
    <n v="80"/>
    <x v="0"/>
  </r>
  <r>
    <d v="2014-04-15T00:00:00"/>
    <x v="3"/>
    <s v="Rieti"/>
    <s v="Art. Regalo"/>
    <n v="484"/>
    <n v="4"/>
    <s v="Lazio"/>
    <s v="RI"/>
    <s v="CENTRO"/>
    <n v="96"/>
    <x v="3"/>
  </r>
  <r>
    <d v="2014-06-25T00:00:00"/>
    <x v="3"/>
    <s v="Pescara"/>
    <s v="Cancelleria"/>
    <n v="792"/>
    <n v="2"/>
    <s v="Abruzzo"/>
    <s v="PE"/>
    <s v="CENTRO"/>
    <n v="96"/>
    <x v="3"/>
  </r>
  <r>
    <d v="2014-02-13T00:00:00"/>
    <x v="0"/>
    <s v="Savona"/>
    <s v="Art. Regalo"/>
    <n v="24"/>
    <n v="5"/>
    <s v="Liguria"/>
    <s v="SV"/>
    <s v="NORD"/>
    <n v="70"/>
    <x v="0"/>
  </r>
  <r>
    <d v="2014-02-17T00:00:00"/>
    <x v="5"/>
    <s v="Verbano-Cusio-Ossola"/>
    <s v="Art. Regalo"/>
    <n v="705"/>
    <n v="3"/>
    <s v="Piemonte"/>
    <s v="VB"/>
    <s v="NORD"/>
    <n v="80"/>
    <x v="3"/>
  </r>
  <r>
    <d v="2014-02-23T00:00:00"/>
    <x v="4"/>
    <s v="Sondrio"/>
    <s v="Libri"/>
    <n v="1288"/>
    <n v="1"/>
    <s v="Lombardia"/>
    <s v="SO"/>
    <s v="NORD"/>
    <n v="84"/>
    <x v="1"/>
  </r>
  <r>
    <d v="2014-02-02T00:00:00"/>
    <x v="1"/>
    <s v="Reggio nell'Emilia"/>
    <s v="Giocattoli"/>
    <n v="956"/>
    <n v="2"/>
    <s v="Emilia-Romagna"/>
    <s v="RE"/>
    <s v="NORD"/>
    <n v="87"/>
    <x v="2"/>
  </r>
  <r>
    <d v="2014-06-29T00:00:00"/>
    <x v="2"/>
    <s v="Venezia"/>
    <s v="Art. Regalo"/>
    <n v="1770"/>
    <n v="4"/>
    <s v="Veneto"/>
    <s v="VE"/>
    <s v="NORD"/>
    <n v="83"/>
    <x v="4"/>
  </r>
  <r>
    <d v="2014-02-11T00:00:00"/>
    <x v="3"/>
    <s v="Savona"/>
    <s v="Cancelleria"/>
    <n v="1449"/>
    <n v="4"/>
    <s v="Liguria"/>
    <s v="SV"/>
    <s v="NORD"/>
    <n v="96"/>
    <x v="1"/>
  </r>
  <r>
    <d v="2014-01-06T00:00:00"/>
    <x v="0"/>
    <s v="Verona"/>
    <s v="Giocattoli"/>
    <n v="1300"/>
    <n v="1"/>
    <s v="Veneto"/>
    <s v="VR"/>
    <s v="NORD"/>
    <n v="70"/>
    <x v="1"/>
  </r>
  <r>
    <d v="2014-04-13T00:00:00"/>
    <x v="0"/>
    <s v="Pisa"/>
    <s v="Art. Regalo"/>
    <n v="1909"/>
    <n v="1"/>
    <s v="Toscana"/>
    <s v="PI"/>
    <s v="CENTRO"/>
    <n v="70"/>
    <x v="4"/>
  </r>
  <r>
    <d v="2014-03-02T00:00:00"/>
    <x v="3"/>
    <s v="Savona"/>
    <s v="Art. Regalo"/>
    <n v="1006"/>
    <n v="3"/>
    <s v="Liguria"/>
    <s v="SV"/>
    <s v="NORD"/>
    <n v="96"/>
    <x v="2"/>
  </r>
  <r>
    <d v="2014-02-04T00:00:00"/>
    <x v="1"/>
    <s v="Trento"/>
    <s v="Cancelleria"/>
    <n v="715"/>
    <n v="3"/>
    <s v="Trentino-Alto Adige"/>
    <s v="TN"/>
    <s v="NORD"/>
    <n v="87"/>
    <x v="3"/>
  </r>
  <r>
    <d v="2014-03-23T00:00:00"/>
    <x v="2"/>
    <s v="Trapani"/>
    <s v="Cancelleria"/>
    <n v="296"/>
    <n v="2"/>
    <s v="Sicilia"/>
    <s v="TP"/>
    <s v="ISOLE"/>
    <n v="83"/>
    <x v="0"/>
  </r>
  <r>
    <d v="2014-06-12T00:00:00"/>
    <x v="0"/>
    <s v="Rimini"/>
    <s v="Giocattoli"/>
    <n v="1079"/>
    <n v="2"/>
    <s v="Emilia-Romagna"/>
    <s v="RN"/>
    <s v="NORD"/>
    <n v="70"/>
    <x v="2"/>
  </r>
  <r>
    <d v="2014-01-23T00:00:00"/>
    <x v="2"/>
    <s v="Rieti"/>
    <s v="Giocattoli"/>
    <n v="222"/>
    <n v="5"/>
    <s v="Lazio"/>
    <s v="RI"/>
    <s v="CENTRO"/>
    <n v="83"/>
    <x v="0"/>
  </r>
  <r>
    <d v="2014-01-12T00:00:00"/>
    <x v="0"/>
    <s v="Treviso"/>
    <s v="Giocattoli"/>
    <n v="1433"/>
    <n v="5"/>
    <s v="Veneto"/>
    <s v="TV"/>
    <s v="NORD"/>
    <n v="70"/>
    <x v="1"/>
  </r>
  <r>
    <d v="2014-06-05T00:00:00"/>
    <x v="3"/>
    <s v="Vicenza"/>
    <s v="Libri"/>
    <n v="1052"/>
    <n v="3"/>
    <s v="Veneto"/>
    <s v="VI"/>
    <s v="NORD"/>
    <n v="96"/>
    <x v="2"/>
  </r>
  <r>
    <d v="2014-01-05T00:00:00"/>
    <x v="0"/>
    <s v="Pisa"/>
    <s v="Cancelleria"/>
    <n v="1917"/>
    <n v="3"/>
    <s v="Toscana"/>
    <s v="PI"/>
    <s v="CENTRO"/>
    <n v="70"/>
    <x v="4"/>
  </r>
  <r>
    <d v="2014-03-07T00:00:00"/>
    <x v="4"/>
    <s v="Terni"/>
    <s v="Informatica"/>
    <n v="1973"/>
    <n v="1"/>
    <s v="Umbria"/>
    <s v="TR"/>
    <s v="CENTRO"/>
    <n v="84"/>
    <x v="4"/>
  </r>
  <r>
    <d v="2014-04-25T00:00:00"/>
    <x v="4"/>
    <s v="Teramo"/>
    <s v="Libri"/>
    <n v="10"/>
    <n v="1"/>
    <s v="Abruzzo"/>
    <s v="TE"/>
    <s v="CENTRO"/>
    <n v="84"/>
    <x v="0"/>
  </r>
  <r>
    <d v="2014-04-21T00:00:00"/>
    <x v="4"/>
    <s v="Trieste"/>
    <s v="Art. Regalo"/>
    <n v="328"/>
    <n v="1"/>
    <s v="Friuli-Venezia Giulia"/>
    <s v="TS"/>
    <s v="NORD"/>
    <n v="84"/>
    <x v="0"/>
  </r>
  <r>
    <d v="2014-04-21T00:00:00"/>
    <x v="5"/>
    <s v="Savona"/>
    <s v="Libri"/>
    <n v="1425"/>
    <n v="4"/>
    <s v="Liguria"/>
    <s v="SV"/>
    <s v="NORD"/>
    <n v="80"/>
    <x v="1"/>
  </r>
  <r>
    <d v="2014-02-10T00:00:00"/>
    <x v="1"/>
    <s v="Perugia"/>
    <s v="Informatica"/>
    <n v="833"/>
    <n v="2"/>
    <s v="Umbria"/>
    <s v="PG"/>
    <s v="CENTRO"/>
    <n v="87"/>
    <x v="2"/>
  </r>
  <r>
    <d v="2014-01-10T00:00:00"/>
    <x v="4"/>
    <s v="Salerno"/>
    <s v="Libri"/>
    <n v="1656"/>
    <n v="5"/>
    <s v="Campania"/>
    <s v="SA"/>
    <s v="SUD"/>
    <n v="84"/>
    <x v="4"/>
  </r>
  <r>
    <d v="2014-05-26T00:00:00"/>
    <x v="2"/>
    <s v="Terni"/>
    <s v="Giocattoli"/>
    <n v="1792"/>
    <n v="4"/>
    <s v="Umbria"/>
    <s v="TR"/>
    <s v="CENTRO"/>
    <n v="83"/>
    <x v="4"/>
  </r>
  <r>
    <d v="2014-05-18T00:00:00"/>
    <x v="3"/>
    <s v="Reggio di Calabria"/>
    <s v="Giocattoli"/>
    <n v="454"/>
    <n v="1"/>
    <s v="Calabria"/>
    <s v="RC"/>
    <s v="SUD"/>
    <n v="96"/>
    <x v="3"/>
  </r>
  <r>
    <d v="2014-02-28T00:00:00"/>
    <x v="2"/>
    <s v="Savona"/>
    <s v="Informatica"/>
    <n v="1337"/>
    <n v="2"/>
    <s v="Liguria"/>
    <s v="SV"/>
    <s v="NORD"/>
    <n v="83"/>
    <x v="1"/>
  </r>
  <r>
    <d v="2014-02-22T00:00:00"/>
    <x v="3"/>
    <s v="Perugia"/>
    <s v="Art. Regalo"/>
    <n v="986"/>
    <n v="4"/>
    <s v="Umbria"/>
    <s v="PG"/>
    <s v="CENTRO"/>
    <n v="96"/>
    <x v="2"/>
  </r>
  <r>
    <d v="2014-05-17T00:00:00"/>
    <x v="1"/>
    <s v="Varese"/>
    <s v="Libri"/>
    <n v="348"/>
    <n v="2"/>
    <s v="Lombardia"/>
    <s v="VA"/>
    <s v="NORD"/>
    <n v="87"/>
    <x v="0"/>
  </r>
  <r>
    <d v="2014-02-09T00:00:00"/>
    <x v="4"/>
    <s v="Trento"/>
    <s v="Cancelleria"/>
    <n v="582"/>
    <n v="3"/>
    <s v="Trentino-Alto Adige"/>
    <s v="TN"/>
    <s v="NORD"/>
    <n v="84"/>
    <x v="3"/>
  </r>
  <r>
    <d v="2014-01-20T00:00:00"/>
    <x v="3"/>
    <s v="Potenza"/>
    <s v="Art. Regalo"/>
    <n v="634"/>
    <n v="2"/>
    <s v="Basilicata"/>
    <s v="PZ"/>
    <s v="SUD"/>
    <n v="96"/>
    <x v="3"/>
  </r>
  <r>
    <d v="2014-04-20T00:00:00"/>
    <x v="2"/>
    <s v="Sassari"/>
    <s v="Cancelleria"/>
    <n v="282"/>
    <n v="3"/>
    <s v="Sardegna"/>
    <s v="SS"/>
    <s v="ISOLE"/>
    <n v="83"/>
    <x v="0"/>
  </r>
  <r>
    <d v="2014-04-26T00:00:00"/>
    <x v="1"/>
    <s v="Pisa"/>
    <s v="Art. Regalo"/>
    <n v="481"/>
    <n v="4"/>
    <s v="Toscana"/>
    <s v="PI"/>
    <s v="CENTRO"/>
    <n v="87"/>
    <x v="3"/>
  </r>
  <r>
    <d v="2014-03-27T00:00:00"/>
    <x v="2"/>
    <s v="Rovigo"/>
    <s v="Giocattoli"/>
    <n v="1441"/>
    <n v="5"/>
    <s v="Veneto"/>
    <s v="RO"/>
    <s v="NORD"/>
    <n v="83"/>
    <x v="1"/>
  </r>
  <r>
    <d v="2014-06-15T00:00:00"/>
    <x v="1"/>
    <s v="Savona"/>
    <s v="Giocattoli"/>
    <n v="808"/>
    <n v="4"/>
    <s v="Liguria"/>
    <s v="SV"/>
    <s v="NORD"/>
    <n v="87"/>
    <x v="2"/>
  </r>
  <r>
    <d v="2014-01-17T00:00:00"/>
    <x v="1"/>
    <s v="Venezia"/>
    <s v="Informatica"/>
    <n v="1874"/>
    <n v="5"/>
    <s v="Veneto"/>
    <s v="VE"/>
    <s v="NORD"/>
    <n v="87"/>
    <x v="4"/>
  </r>
  <r>
    <d v="2014-01-21T00:00:00"/>
    <x v="4"/>
    <s v="Potenza"/>
    <s v="Libri"/>
    <n v="965"/>
    <n v="1"/>
    <s v="Basilicata"/>
    <s v="PZ"/>
    <s v="SUD"/>
    <n v="84"/>
    <x v="2"/>
  </r>
  <r>
    <d v="2014-01-18T00:00:00"/>
    <x v="4"/>
    <s v="Ravenna"/>
    <s v="Cancelleria"/>
    <n v="93"/>
    <n v="1"/>
    <s v="Emilia-Romagna"/>
    <s v="RA"/>
    <s v="NORD"/>
    <n v="84"/>
    <x v="0"/>
  </r>
  <r>
    <d v="2014-01-22T00:00:00"/>
    <x v="2"/>
    <s v="Trento"/>
    <s v="Giocattoli"/>
    <n v="1774"/>
    <n v="3"/>
    <s v="Trentino-Alto Adige"/>
    <s v="TN"/>
    <s v="NORD"/>
    <n v="83"/>
    <x v="4"/>
  </r>
  <r>
    <d v="2014-06-10T00:00:00"/>
    <x v="4"/>
    <s v="Torino"/>
    <s v="Art. Regalo"/>
    <n v="217"/>
    <n v="5"/>
    <s v="Piemonte"/>
    <s v="TO"/>
    <s v="NORD"/>
    <n v="84"/>
    <x v="0"/>
  </r>
  <r>
    <d v="2014-05-07T00:00:00"/>
    <x v="3"/>
    <s v="Vercelli"/>
    <s v="Cancelleria"/>
    <n v="737"/>
    <n v="3"/>
    <s v="Piemonte"/>
    <s v="VC"/>
    <s v="NORD"/>
    <n v="96"/>
    <x v="3"/>
  </r>
  <r>
    <d v="2014-04-07T00:00:00"/>
    <x v="4"/>
    <s v="Verona"/>
    <s v="Art. Regalo"/>
    <n v="1154"/>
    <n v="1"/>
    <s v="Veneto"/>
    <s v="VR"/>
    <s v="NORD"/>
    <n v="84"/>
    <x v="2"/>
  </r>
  <r>
    <d v="2014-02-17T00:00:00"/>
    <x v="3"/>
    <s v="Taranto"/>
    <s v="Informatica"/>
    <n v="891"/>
    <n v="3"/>
    <s v="Puglia"/>
    <s v="TA"/>
    <s v="SUD"/>
    <n v="96"/>
    <x v="2"/>
  </r>
  <r>
    <d v="2014-04-25T00:00:00"/>
    <x v="0"/>
    <s v="Piacenza"/>
    <s v="Libri"/>
    <n v="1130"/>
    <n v="2"/>
    <s v="Emilia-Romagna"/>
    <s v="PC"/>
    <s v="NORD"/>
    <n v="70"/>
    <x v="2"/>
  </r>
  <r>
    <d v="2014-06-29T00:00:00"/>
    <x v="2"/>
    <s v="Trento"/>
    <s v="Informatica"/>
    <n v="317"/>
    <n v="4"/>
    <s v="Trentino-Alto Adige"/>
    <s v="TN"/>
    <s v="NORD"/>
    <n v="83"/>
    <x v="0"/>
  </r>
  <r>
    <d v="2014-02-25T00:00:00"/>
    <x v="2"/>
    <s v="Piacenza"/>
    <s v="Art. Regalo"/>
    <n v="1663"/>
    <n v="5"/>
    <s v="Emilia-Romagna"/>
    <s v="PC"/>
    <s v="NORD"/>
    <n v="83"/>
    <x v="4"/>
  </r>
  <r>
    <d v="2014-01-30T00:00:00"/>
    <x v="5"/>
    <s v="Vercelli"/>
    <s v="Giocattoli"/>
    <n v="107"/>
    <n v="1"/>
    <s v="Piemonte"/>
    <s v="VC"/>
    <s v="NORD"/>
    <n v="80"/>
    <x v="0"/>
  </r>
  <r>
    <d v="2014-06-10T00:00:00"/>
    <x v="5"/>
    <s v="Udine"/>
    <s v="Giocattoli"/>
    <n v="1430"/>
    <n v="2"/>
    <s v="Friuli-Venezia Giulia"/>
    <s v="UD"/>
    <s v="NORD"/>
    <n v="80"/>
    <x v="1"/>
  </r>
  <r>
    <d v="2014-04-18T00:00:00"/>
    <x v="3"/>
    <s v="Pordenone"/>
    <s v="Libri"/>
    <n v="298"/>
    <n v="1"/>
    <s v="Friuli-Venezia Giulia"/>
    <s v="PN"/>
    <s v="NORD"/>
    <n v="96"/>
    <x v="0"/>
  </r>
  <r>
    <d v="2014-04-29T00:00:00"/>
    <x v="2"/>
    <s v="Reggio di Calabria"/>
    <s v="Giocattoli"/>
    <n v="1557"/>
    <n v="3"/>
    <s v="Calabria"/>
    <s v="RC"/>
    <s v="SUD"/>
    <n v="83"/>
    <x v="4"/>
  </r>
  <r>
    <d v="2014-04-07T00:00:00"/>
    <x v="0"/>
    <s v="Pavia"/>
    <s v="Giocattoli"/>
    <n v="477"/>
    <n v="3"/>
    <s v="Lombardia"/>
    <s v="PV"/>
    <s v="NORD"/>
    <n v="70"/>
    <x v="3"/>
  </r>
  <r>
    <d v="2014-02-26T00:00:00"/>
    <x v="3"/>
    <s v="Piacenza"/>
    <s v="Cancelleria"/>
    <n v="1593"/>
    <n v="3"/>
    <s v="Emilia-Romagna"/>
    <s v="PC"/>
    <s v="NORD"/>
    <n v="96"/>
    <x v="4"/>
  </r>
  <r>
    <d v="2014-02-09T00:00:00"/>
    <x v="4"/>
    <s v="Verbano-Cusio-Ossola"/>
    <s v="Art. Regalo"/>
    <n v="534"/>
    <n v="5"/>
    <s v="Piemonte"/>
    <s v="VB"/>
    <s v="NORD"/>
    <n v="84"/>
    <x v="3"/>
  </r>
  <r>
    <d v="2014-06-26T00:00:00"/>
    <x v="0"/>
    <s v="Rovigo"/>
    <s v="Art. Regalo"/>
    <n v="1615"/>
    <n v="5"/>
    <s v="Veneto"/>
    <s v="RO"/>
    <s v="NORD"/>
    <n v="70"/>
    <x v="4"/>
  </r>
  <r>
    <d v="2014-01-26T00:00:00"/>
    <x v="4"/>
    <s v="Pisa"/>
    <s v="Art. Regalo"/>
    <n v="416"/>
    <n v="3"/>
    <s v="Toscana"/>
    <s v="PI"/>
    <s v="CENTRO"/>
    <n v="84"/>
    <x v="3"/>
  </r>
  <r>
    <d v="2014-01-26T00:00:00"/>
    <x v="3"/>
    <s v="Venezia"/>
    <s v="Giocattoli"/>
    <n v="201"/>
    <n v="4"/>
    <s v="Veneto"/>
    <s v="VE"/>
    <s v="NORD"/>
    <n v="96"/>
    <x v="0"/>
  </r>
  <r>
    <d v="2014-06-14T00:00:00"/>
    <x v="5"/>
    <s v="Pordenone"/>
    <s v="Giocattoli"/>
    <n v="95"/>
    <n v="3"/>
    <s v="Friuli-Venezia Giulia"/>
    <s v="PN"/>
    <s v="NORD"/>
    <n v="80"/>
    <x v="0"/>
  </r>
  <r>
    <d v="2014-01-31T00:00:00"/>
    <x v="4"/>
    <s v="Vicenza"/>
    <s v="Informatica"/>
    <n v="1762"/>
    <n v="3"/>
    <s v="Veneto"/>
    <s v="VI"/>
    <s v="NORD"/>
    <n v="84"/>
    <x v="4"/>
  </r>
  <r>
    <d v="2014-02-18T00:00:00"/>
    <x v="5"/>
    <s v="Siracusa"/>
    <s v="Informatica"/>
    <n v="222"/>
    <n v="4"/>
    <s v="Sicilia"/>
    <s v="SR"/>
    <s v="ISOLE"/>
    <n v="80"/>
    <x v="0"/>
  </r>
  <r>
    <d v="2014-04-30T00:00:00"/>
    <x v="3"/>
    <s v="Siracusa"/>
    <s v="Art. Regalo"/>
    <n v="1701"/>
    <n v="3"/>
    <s v="Sicilia"/>
    <s v="SR"/>
    <s v="ISOLE"/>
    <n v="96"/>
    <x v="4"/>
  </r>
  <r>
    <d v="2014-01-06T00:00:00"/>
    <x v="3"/>
    <s v="Reggio nell'Emilia"/>
    <s v="Cancelleria"/>
    <n v="1517"/>
    <n v="1"/>
    <s v="Emilia-Romagna"/>
    <s v="RE"/>
    <s v="NORD"/>
    <n v="96"/>
    <x v="4"/>
  </r>
  <r>
    <d v="2014-05-29T00:00:00"/>
    <x v="4"/>
    <s v="Pesaro e Urbino"/>
    <s v="Libri"/>
    <n v="1596"/>
    <n v="1"/>
    <s v="Marche"/>
    <s v="PS"/>
    <s v="CENTRO"/>
    <n v="84"/>
    <x v="4"/>
  </r>
  <r>
    <d v="2014-04-28T00:00:00"/>
    <x v="5"/>
    <s v="Rieti"/>
    <s v="Giocattoli"/>
    <n v="1048"/>
    <n v="5"/>
    <s v="Lazio"/>
    <s v="RI"/>
    <s v="CENTRO"/>
    <n v="80"/>
    <x v="2"/>
  </r>
  <r>
    <d v="2014-03-16T00:00:00"/>
    <x v="2"/>
    <s v="Vibo Valentia"/>
    <s v="Informatica"/>
    <n v="173"/>
    <n v="5"/>
    <s v="Calabria"/>
    <s v="VV"/>
    <s v="SUD"/>
    <n v="83"/>
    <x v="0"/>
  </r>
  <r>
    <d v="2014-06-17T00:00:00"/>
    <x v="1"/>
    <s v="Perugia"/>
    <s v="Informatica"/>
    <n v="1960"/>
    <n v="4"/>
    <s v="Umbria"/>
    <s v="PG"/>
    <s v="CENTRO"/>
    <n v="87"/>
    <x v="4"/>
  </r>
  <r>
    <d v="2014-04-23T00:00:00"/>
    <x v="5"/>
    <s v="Vercelli"/>
    <s v="Libri"/>
    <n v="910"/>
    <n v="2"/>
    <s v="Piemonte"/>
    <s v="VC"/>
    <s v="NORD"/>
    <n v="80"/>
    <x v="2"/>
  </r>
  <r>
    <d v="2014-05-07T00:00:00"/>
    <x v="4"/>
    <s v="Pavia"/>
    <s v="Giocattoli"/>
    <n v="830"/>
    <n v="5"/>
    <s v="Lombardia"/>
    <s v="PV"/>
    <s v="NORD"/>
    <n v="84"/>
    <x v="2"/>
  </r>
  <r>
    <d v="2014-05-21T00:00:00"/>
    <x v="5"/>
    <s v="Salerno"/>
    <s v="Art. Regalo"/>
    <n v="1006"/>
    <n v="2"/>
    <s v="Campania"/>
    <s v="SA"/>
    <s v="SUD"/>
    <n v="80"/>
    <x v="2"/>
  </r>
  <r>
    <d v="2014-01-28T00:00:00"/>
    <x v="5"/>
    <s v="Pordenone"/>
    <s v="Cancelleria"/>
    <n v="268"/>
    <n v="4"/>
    <s v="Friuli-Venezia Giulia"/>
    <s v="PN"/>
    <s v="NORD"/>
    <n v="80"/>
    <x v="0"/>
  </r>
  <r>
    <d v="2014-04-14T00:00:00"/>
    <x v="4"/>
    <s v="Perugia"/>
    <s v="Cancelleria"/>
    <n v="1160"/>
    <n v="5"/>
    <s v="Umbria"/>
    <s v="PG"/>
    <s v="CENTRO"/>
    <n v="84"/>
    <x v="2"/>
  </r>
  <r>
    <d v="2014-03-22T00:00:00"/>
    <x v="3"/>
    <s v="Pavia"/>
    <s v="Cancelleria"/>
    <n v="1000"/>
    <n v="1"/>
    <s v="Lombardia"/>
    <s v="PV"/>
    <s v="NORD"/>
    <n v="96"/>
    <x v="2"/>
  </r>
  <r>
    <d v="2014-03-17T00:00:00"/>
    <x v="1"/>
    <s v="Pescara"/>
    <s v="Libri"/>
    <n v="1733"/>
    <n v="5"/>
    <s v="Abruzzo"/>
    <s v="PE"/>
    <s v="CENTRO"/>
    <n v="87"/>
    <x v="4"/>
  </r>
  <r>
    <d v="2014-06-09T00:00:00"/>
    <x v="5"/>
    <s v="Savona"/>
    <s v="Libri"/>
    <n v="892"/>
    <n v="4"/>
    <s v="Liguria"/>
    <s v="SV"/>
    <s v="NORD"/>
    <n v="80"/>
    <x v="2"/>
  </r>
  <r>
    <d v="2014-05-19T00:00:00"/>
    <x v="3"/>
    <s v="Ragusa"/>
    <s v="Giocattoli"/>
    <n v="425"/>
    <n v="2"/>
    <s v="Sicilia"/>
    <s v="RG"/>
    <s v="ISOLE"/>
    <n v="96"/>
    <x v="3"/>
  </r>
  <r>
    <d v="2014-06-27T00:00:00"/>
    <x v="3"/>
    <s v="Reggio nell'Emilia"/>
    <s v="Giocattoli"/>
    <n v="262"/>
    <n v="3"/>
    <s v="Emilia-Romagna"/>
    <s v="RE"/>
    <s v="NORD"/>
    <n v="96"/>
    <x v="0"/>
  </r>
  <r>
    <d v="2014-05-15T00:00:00"/>
    <x v="4"/>
    <s v="Ravenna"/>
    <s v="Giocattoli"/>
    <n v="1475"/>
    <n v="3"/>
    <s v="Emilia-Romagna"/>
    <s v="RA"/>
    <s v="NORD"/>
    <n v="84"/>
    <x v="1"/>
  </r>
  <r>
    <d v="2014-05-31T00:00:00"/>
    <x v="2"/>
    <s v="Vibo Valentia"/>
    <s v="Giocattoli"/>
    <n v="1483"/>
    <n v="2"/>
    <s v="Calabria"/>
    <s v="VV"/>
    <s v="SUD"/>
    <n v="83"/>
    <x v="1"/>
  </r>
  <r>
    <d v="2014-05-09T00:00:00"/>
    <x v="1"/>
    <s v="Rimini"/>
    <s v="Libri"/>
    <n v="1255"/>
    <n v="5"/>
    <s v="Emilia-Romagna"/>
    <s v="RN"/>
    <s v="NORD"/>
    <n v="87"/>
    <x v="1"/>
  </r>
  <r>
    <d v="2014-02-13T00:00:00"/>
    <x v="1"/>
    <s v="Savona"/>
    <s v="Giocattoli"/>
    <n v="1687"/>
    <n v="2"/>
    <s v="Liguria"/>
    <s v="SV"/>
    <s v="NORD"/>
    <n v="87"/>
    <x v="4"/>
  </r>
  <r>
    <d v="2014-02-13T00:00:00"/>
    <x v="5"/>
    <s v="Vicenza"/>
    <s v="Art. Regalo"/>
    <n v="792"/>
    <n v="5"/>
    <s v="Veneto"/>
    <s v="VI"/>
    <s v="NORD"/>
    <n v="80"/>
    <x v="3"/>
  </r>
  <r>
    <d v="2014-06-09T00:00:00"/>
    <x v="5"/>
    <s v="Rieti"/>
    <s v="Cancelleria"/>
    <n v="1284"/>
    <n v="2"/>
    <s v="Lazio"/>
    <s v="RI"/>
    <s v="CENTRO"/>
    <n v="80"/>
    <x v="1"/>
  </r>
  <r>
    <d v="2014-04-01T00:00:00"/>
    <x v="5"/>
    <s v="Prato"/>
    <s v="Informatica"/>
    <n v="1007"/>
    <n v="3"/>
    <s v="Toscana"/>
    <s v="PO"/>
    <s v="CENTRO"/>
    <n v="80"/>
    <x v="2"/>
  </r>
  <r>
    <d v="2014-05-19T00:00:00"/>
    <x v="4"/>
    <s v="Pescara"/>
    <s v="Giocattoli"/>
    <n v="1313"/>
    <n v="3"/>
    <s v="Abruzzo"/>
    <s v="PE"/>
    <s v="CENTRO"/>
    <n v="84"/>
    <x v="1"/>
  </r>
  <r>
    <d v="2014-04-29T00:00:00"/>
    <x v="4"/>
    <s v="Reggio di Calabria"/>
    <s v="Art. Regalo"/>
    <n v="535"/>
    <n v="4"/>
    <s v="Calabria"/>
    <s v="RC"/>
    <s v="SUD"/>
    <n v="84"/>
    <x v="3"/>
  </r>
  <r>
    <d v="2014-04-14T00:00:00"/>
    <x v="4"/>
    <s v="Prato"/>
    <s v="Giocattoli"/>
    <n v="930"/>
    <n v="5"/>
    <s v="Toscana"/>
    <s v="PO"/>
    <s v="CENTRO"/>
    <n v="84"/>
    <x v="2"/>
  </r>
  <r>
    <d v="2014-02-08T00:00:00"/>
    <x v="0"/>
    <s v="Varese"/>
    <s v="Informatica"/>
    <n v="1008"/>
    <n v="3"/>
    <s v="Lombardia"/>
    <s v="VA"/>
    <s v="NORD"/>
    <n v="70"/>
    <x v="2"/>
  </r>
  <r>
    <d v="2014-01-17T00:00:00"/>
    <x v="2"/>
    <s v="Taranto"/>
    <s v="Giocattoli"/>
    <n v="840"/>
    <n v="1"/>
    <s v="Puglia"/>
    <s v="TA"/>
    <s v="SUD"/>
    <n v="83"/>
    <x v="2"/>
  </r>
  <r>
    <d v="2014-06-11T00:00:00"/>
    <x v="3"/>
    <s v="Siena"/>
    <s v="Giocattoli"/>
    <n v="58"/>
    <n v="5"/>
    <s v="Toscana"/>
    <s v="SI"/>
    <s v="CENTRO"/>
    <n v="96"/>
    <x v="0"/>
  </r>
  <r>
    <d v="2014-04-14T00:00:00"/>
    <x v="0"/>
    <s v="Trapani"/>
    <s v="Libri"/>
    <n v="652"/>
    <n v="5"/>
    <s v="Sicilia"/>
    <s v="TP"/>
    <s v="ISOLE"/>
    <n v="70"/>
    <x v="3"/>
  </r>
  <r>
    <d v="2014-05-29T00:00:00"/>
    <x v="1"/>
    <s v="Torino"/>
    <s v="Giocattoli"/>
    <n v="834"/>
    <n v="2"/>
    <s v="Piemonte"/>
    <s v="TO"/>
    <s v="NORD"/>
    <n v="87"/>
    <x v="2"/>
  </r>
  <r>
    <d v="2014-04-17T00:00:00"/>
    <x v="3"/>
    <s v="Teramo"/>
    <s v="Libri"/>
    <n v="1394"/>
    <n v="5"/>
    <s v="Abruzzo"/>
    <s v="TE"/>
    <s v="CENTRO"/>
    <n v="96"/>
    <x v="1"/>
  </r>
  <r>
    <d v="2014-04-11T00:00:00"/>
    <x v="3"/>
    <s v="Perugia"/>
    <s v="Informatica"/>
    <n v="1809"/>
    <n v="2"/>
    <s v="Umbria"/>
    <s v="PG"/>
    <s v="CENTRO"/>
    <n v="96"/>
    <x v="4"/>
  </r>
  <r>
    <d v="2014-04-28T00:00:00"/>
    <x v="2"/>
    <s v="Rieti"/>
    <s v="Informatica"/>
    <n v="1381"/>
    <n v="3"/>
    <s v="Lazio"/>
    <s v="RI"/>
    <s v="CENTRO"/>
    <n v="83"/>
    <x v="1"/>
  </r>
  <r>
    <d v="2014-02-27T00:00:00"/>
    <x v="5"/>
    <s v="Pisa"/>
    <s v="Giocattoli"/>
    <n v="742"/>
    <n v="1"/>
    <s v="Toscana"/>
    <s v="PI"/>
    <s v="CENTRO"/>
    <n v="80"/>
    <x v="3"/>
  </r>
  <r>
    <d v="2014-05-11T00:00:00"/>
    <x v="4"/>
    <s v="Pordenone"/>
    <s v="Art. Regalo"/>
    <n v="12"/>
    <n v="4"/>
    <s v="Friuli-Venezia Giulia"/>
    <s v="PN"/>
    <s v="NORD"/>
    <n v="84"/>
    <x v="0"/>
  </r>
  <r>
    <d v="2014-04-29T00:00:00"/>
    <x v="0"/>
    <s v="Verbano-Cusio-Ossola"/>
    <s v="Libri"/>
    <n v="118"/>
    <n v="5"/>
    <s v="Piemonte"/>
    <s v="VB"/>
    <s v="NORD"/>
    <n v="70"/>
    <x v="0"/>
  </r>
  <r>
    <d v="2014-03-03T00:00:00"/>
    <x v="3"/>
    <s v="Pesaro e Urbino"/>
    <s v="Informatica"/>
    <n v="2000"/>
    <n v="4"/>
    <s v="Marche"/>
    <s v="PS"/>
    <s v="CENTRO"/>
    <n v="96"/>
    <x v="4"/>
  </r>
  <r>
    <d v="2014-02-04T00:00:00"/>
    <x v="2"/>
    <s v="Teramo"/>
    <s v="Giocattoli"/>
    <n v="1963"/>
    <n v="4"/>
    <s v="Abruzzo"/>
    <s v="TE"/>
    <s v="CENTRO"/>
    <n v="83"/>
    <x v="4"/>
  </r>
  <r>
    <d v="2014-02-24T00:00:00"/>
    <x v="1"/>
    <s v="Savona"/>
    <s v="Informatica"/>
    <n v="1583"/>
    <n v="4"/>
    <s v="Liguria"/>
    <s v="SV"/>
    <s v="NORD"/>
    <n v="87"/>
    <x v="4"/>
  </r>
  <r>
    <d v="2014-03-07T00:00:00"/>
    <x v="0"/>
    <s v="Verbano-Cusio-Ossola"/>
    <s v="Art. Regalo"/>
    <n v="1103"/>
    <n v="1"/>
    <s v="Piemonte"/>
    <s v="VB"/>
    <s v="NORD"/>
    <n v="70"/>
    <x v="2"/>
  </r>
  <r>
    <d v="2014-06-24T00:00:00"/>
    <x v="2"/>
    <s v="Sondrio"/>
    <s v="Libri"/>
    <n v="837"/>
    <n v="3"/>
    <s v="Lombardia"/>
    <s v="SO"/>
    <s v="NORD"/>
    <n v="83"/>
    <x v="2"/>
  </r>
  <r>
    <d v="2014-05-13T00:00:00"/>
    <x v="0"/>
    <s v="Reggio di Calabria"/>
    <s v="Libri"/>
    <n v="6"/>
    <n v="2"/>
    <s v="Calabria"/>
    <s v="RC"/>
    <s v="SUD"/>
    <n v="70"/>
    <x v="0"/>
  </r>
  <r>
    <d v="2014-03-05T00:00:00"/>
    <x v="5"/>
    <s v="Potenza"/>
    <s v="Giocattoli"/>
    <n v="94"/>
    <n v="5"/>
    <s v="Basilicata"/>
    <s v="PZ"/>
    <s v="SUD"/>
    <n v="80"/>
    <x v="0"/>
  </r>
  <r>
    <d v="2014-01-15T00:00:00"/>
    <x v="4"/>
    <s v="Siracusa"/>
    <s v="Cancelleria"/>
    <n v="1206"/>
    <n v="1"/>
    <s v="Sicilia"/>
    <s v="SR"/>
    <s v="ISOLE"/>
    <n v="84"/>
    <x v="1"/>
  </r>
  <r>
    <d v="2014-02-07T00:00:00"/>
    <x v="5"/>
    <s v="Reggio di Calabria"/>
    <s v="Giocattoli"/>
    <n v="1266"/>
    <n v="4"/>
    <s v="Calabria"/>
    <s v="RC"/>
    <s v="SUD"/>
    <n v="80"/>
    <x v="1"/>
  </r>
  <r>
    <d v="2014-03-10T00:00:00"/>
    <x v="1"/>
    <s v="Treviso"/>
    <s v="Art. Regalo"/>
    <n v="707"/>
    <n v="5"/>
    <s v="Veneto"/>
    <s v="TV"/>
    <s v="NORD"/>
    <n v="87"/>
    <x v="3"/>
  </r>
  <r>
    <d v="2014-06-25T00:00:00"/>
    <x v="0"/>
    <s v="Sondrio"/>
    <s v="Libri"/>
    <n v="42"/>
    <n v="2"/>
    <s v="Lombardia"/>
    <s v="SO"/>
    <s v="NORD"/>
    <n v="70"/>
    <x v="0"/>
  </r>
  <r>
    <d v="2014-02-05T00:00:00"/>
    <x v="1"/>
    <s v="Verbano-Cusio-Ossola"/>
    <s v="Libri"/>
    <n v="1560"/>
    <n v="5"/>
    <s v="Piemonte"/>
    <s v="VB"/>
    <s v="NORD"/>
    <n v="87"/>
    <x v="4"/>
  </r>
  <r>
    <d v="2014-05-05T00:00:00"/>
    <x v="4"/>
    <s v="Roma"/>
    <s v="Art. Regalo"/>
    <n v="1996"/>
    <n v="2"/>
    <s v="Lazio"/>
    <s v="RM"/>
    <s v="CENTRO"/>
    <n v="84"/>
    <x v="4"/>
  </r>
  <r>
    <d v="2014-02-20T00:00:00"/>
    <x v="3"/>
    <s v="Pisa"/>
    <s v="Informatica"/>
    <n v="884"/>
    <n v="4"/>
    <s v="Toscana"/>
    <s v="PI"/>
    <s v="CENTRO"/>
    <n v="96"/>
    <x v="2"/>
  </r>
  <r>
    <d v="2014-05-25T00:00:00"/>
    <x v="3"/>
    <s v="Sassari"/>
    <s v="Libri"/>
    <n v="534"/>
    <n v="4"/>
    <s v="Sardegna"/>
    <s v="SS"/>
    <s v="ISOLE"/>
    <n v="96"/>
    <x v="3"/>
  </r>
  <r>
    <d v="2014-04-11T00:00:00"/>
    <x v="1"/>
    <s v="Ragusa"/>
    <s v="Giocattoli"/>
    <n v="1370"/>
    <n v="2"/>
    <s v="Sicilia"/>
    <s v="RG"/>
    <s v="ISOLE"/>
    <n v="87"/>
    <x v="1"/>
  </r>
  <r>
    <d v="2014-02-01T00:00:00"/>
    <x v="1"/>
    <s v="Rimini"/>
    <s v="Libri"/>
    <n v="331"/>
    <n v="4"/>
    <s v="Emilia-Romagna"/>
    <s v="RN"/>
    <s v="NORD"/>
    <n v="87"/>
    <x v="0"/>
  </r>
  <r>
    <d v="2014-03-24T00:00:00"/>
    <x v="1"/>
    <s v="Verbano-Cusio-Ossola"/>
    <s v="Art. Regalo"/>
    <n v="878"/>
    <n v="1"/>
    <s v="Piemonte"/>
    <s v="VB"/>
    <s v="NORD"/>
    <n v="87"/>
    <x v="2"/>
  </r>
  <r>
    <d v="2014-01-27T00:00:00"/>
    <x v="3"/>
    <s v="Verbano-Cusio-Ossola"/>
    <s v="Libri"/>
    <n v="1320"/>
    <n v="2"/>
    <s v="Piemonte"/>
    <s v="VB"/>
    <s v="NORD"/>
    <n v="96"/>
    <x v="1"/>
  </r>
  <r>
    <d v="2014-05-28T00:00:00"/>
    <x v="2"/>
    <s v="Reggio di Calabria"/>
    <s v="Cancelleria"/>
    <n v="1889"/>
    <n v="5"/>
    <s v="Calabria"/>
    <s v="RC"/>
    <s v="SUD"/>
    <n v="83"/>
    <x v="4"/>
  </r>
  <r>
    <d v="2014-02-27T00:00:00"/>
    <x v="4"/>
    <s v="Rovigo"/>
    <s v="Giocattoli"/>
    <n v="1330"/>
    <n v="5"/>
    <s v="Veneto"/>
    <s v="RO"/>
    <s v="NORD"/>
    <n v="84"/>
    <x v="1"/>
  </r>
  <r>
    <d v="2014-02-08T00:00:00"/>
    <x v="4"/>
    <s v="Reggio di Calabria"/>
    <s v="Informatica"/>
    <n v="1515"/>
    <n v="3"/>
    <s v="Calabria"/>
    <s v="RC"/>
    <s v="SUD"/>
    <n v="84"/>
    <x v="4"/>
  </r>
  <r>
    <d v="2014-05-06T00:00:00"/>
    <x v="3"/>
    <s v="Terni"/>
    <s v="Art. Regalo"/>
    <n v="363"/>
    <n v="4"/>
    <s v="Umbria"/>
    <s v="TR"/>
    <s v="CENTRO"/>
    <n v="96"/>
    <x v="0"/>
  </r>
  <r>
    <d v="2014-05-23T00:00:00"/>
    <x v="2"/>
    <s v="Trieste"/>
    <s v="Art. Regalo"/>
    <n v="1616"/>
    <n v="2"/>
    <s v="Friuli-Venezia Giulia"/>
    <s v="TS"/>
    <s v="NORD"/>
    <n v="83"/>
    <x v="4"/>
  </r>
  <r>
    <d v="2014-03-07T00:00:00"/>
    <x v="5"/>
    <s v="Pisa"/>
    <s v="Art. Regalo"/>
    <n v="66"/>
    <n v="3"/>
    <s v="Toscana"/>
    <s v="PI"/>
    <s v="CENTRO"/>
    <n v="80"/>
    <x v="0"/>
  </r>
  <r>
    <d v="2014-01-20T00:00:00"/>
    <x v="3"/>
    <s v="Potenza"/>
    <s v="Libri"/>
    <n v="1451"/>
    <n v="2"/>
    <s v="Basilicata"/>
    <s v="PZ"/>
    <s v="SUD"/>
    <n v="96"/>
    <x v="1"/>
  </r>
  <r>
    <d v="2014-06-14T00:00:00"/>
    <x v="1"/>
    <s v="Siracusa"/>
    <s v="Informatica"/>
    <n v="922"/>
    <n v="1"/>
    <s v="Sicilia"/>
    <s v="SR"/>
    <s v="ISOLE"/>
    <n v="87"/>
    <x v="2"/>
  </r>
  <r>
    <d v="2014-04-18T00:00:00"/>
    <x v="2"/>
    <s v="Perugia"/>
    <s v="Art. Regalo"/>
    <n v="777"/>
    <n v="4"/>
    <s v="Umbria"/>
    <s v="PG"/>
    <s v="CENTRO"/>
    <n v="83"/>
    <x v="3"/>
  </r>
  <r>
    <d v="2014-04-19T00:00:00"/>
    <x v="2"/>
    <s v="Vercelli"/>
    <s v="Libri"/>
    <n v="1553"/>
    <n v="3"/>
    <s v="Piemonte"/>
    <s v="VC"/>
    <s v="NORD"/>
    <n v="83"/>
    <x v="4"/>
  </r>
  <r>
    <d v="2014-01-21T00:00:00"/>
    <x v="2"/>
    <s v="Roma"/>
    <s v="Cancelleria"/>
    <n v="1602"/>
    <n v="4"/>
    <s v="Lazio"/>
    <s v="RM"/>
    <s v="CENTRO"/>
    <n v="83"/>
    <x v="4"/>
  </r>
  <r>
    <d v="2014-04-16T00:00:00"/>
    <x v="0"/>
    <s v="Trieste"/>
    <s v="Art. Regalo"/>
    <n v="1223"/>
    <n v="4"/>
    <s v="Friuli-Venezia Giulia"/>
    <s v="TS"/>
    <s v="NORD"/>
    <n v="70"/>
    <x v="1"/>
  </r>
  <r>
    <d v="2014-06-09T00:00:00"/>
    <x v="3"/>
    <s v="Savona"/>
    <s v="Art. Regalo"/>
    <n v="1410"/>
    <n v="1"/>
    <s v="Liguria"/>
    <s v="SV"/>
    <s v="NORD"/>
    <n v="96"/>
    <x v="1"/>
  </r>
  <r>
    <d v="2014-01-01T00:00:00"/>
    <x v="3"/>
    <s v="Rovigo"/>
    <s v="Informatica"/>
    <n v="452"/>
    <n v="4"/>
    <s v="Veneto"/>
    <s v="RO"/>
    <s v="NORD"/>
    <n v="96"/>
    <x v="3"/>
  </r>
  <r>
    <d v="2014-01-19T00:00:00"/>
    <x v="4"/>
    <s v="Pescara"/>
    <s v="Informatica"/>
    <n v="242"/>
    <n v="1"/>
    <s v="Abruzzo"/>
    <s v="PE"/>
    <s v="CENTRO"/>
    <n v="84"/>
    <x v="0"/>
  </r>
  <r>
    <d v="2014-04-15T00:00:00"/>
    <x v="0"/>
    <s v="Piacenza"/>
    <s v="Cancelleria"/>
    <n v="1568"/>
    <n v="4"/>
    <s v="Emilia-Romagna"/>
    <s v="PC"/>
    <s v="NORD"/>
    <n v="70"/>
    <x v="4"/>
  </r>
  <r>
    <d v="2014-03-08T00:00:00"/>
    <x v="4"/>
    <s v="Viterbo"/>
    <s v="Art. Regalo"/>
    <n v="207"/>
    <n v="4"/>
    <s v="Lazio"/>
    <s v="VT"/>
    <s v="CENTRO"/>
    <n v="84"/>
    <x v="0"/>
  </r>
  <r>
    <d v="2014-04-20T00:00:00"/>
    <x v="0"/>
    <s v="Rieti"/>
    <s v="Giocattoli"/>
    <n v="1912"/>
    <n v="2"/>
    <s v="Lazio"/>
    <s v="RI"/>
    <s v="CENTRO"/>
    <n v="70"/>
    <x v="4"/>
  </r>
  <r>
    <d v="2014-01-16T00:00:00"/>
    <x v="0"/>
    <s v="Reggio nell'Emilia"/>
    <s v="Libri"/>
    <n v="771"/>
    <n v="5"/>
    <s v="Emilia-Romagna"/>
    <s v="RE"/>
    <s v="NORD"/>
    <n v="70"/>
    <x v="3"/>
  </r>
  <r>
    <d v="2014-02-23T00:00:00"/>
    <x v="5"/>
    <s v="Savona"/>
    <s v="Art. Regalo"/>
    <n v="97"/>
    <n v="2"/>
    <s v="Liguria"/>
    <s v="SV"/>
    <s v="NORD"/>
    <n v="80"/>
    <x v="0"/>
  </r>
  <r>
    <d v="2014-03-18T00:00:00"/>
    <x v="3"/>
    <s v="Pescara"/>
    <s v="Libri"/>
    <n v="1361"/>
    <n v="5"/>
    <s v="Abruzzo"/>
    <s v="PE"/>
    <s v="CENTRO"/>
    <n v="96"/>
    <x v="1"/>
  </r>
  <r>
    <d v="2014-03-05T00:00:00"/>
    <x v="2"/>
    <s v="Vicenza"/>
    <s v="Giocattoli"/>
    <n v="1986"/>
    <n v="4"/>
    <s v="Veneto"/>
    <s v="VI"/>
    <s v="NORD"/>
    <n v="83"/>
    <x v="4"/>
  </r>
  <r>
    <d v="2014-03-10T00:00:00"/>
    <x v="1"/>
    <s v="Venezia"/>
    <s v="Libri"/>
    <n v="1244"/>
    <n v="3"/>
    <s v="Veneto"/>
    <s v="VE"/>
    <s v="NORD"/>
    <n v="87"/>
    <x v="1"/>
  </r>
  <r>
    <d v="2014-06-01T00:00:00"/>
    <x v="4"/>
    <s v="Roma"/>
    <s v="Cancelleria"/>
    <n v="1319"/>
    <n v="1"/>
    <s v="Lazio"/>
    <s v="RM"/>
    <s v="CENTRO"/>
    <n v="84"/>
    <x v="1"/>
  </r>
  <r>
    <d v="2014-02-14T00:00:00"/>
    <x v="5"/>
    <s v="Siena"/>
    <s v="Art. Regalo"/>
    <n v="1554"/>
    <n v="4"/>
    <s v="Toscana"/>
    <s v="SI"/>
    <s v="CENTRO"/>
    <n v="80"/>
    <x v="4"/>
  </r>
  <r>
    <d v="2014-05-04T00:00:00"/>
    <x v="1"/>
    <s v="Pordenone"/>
    <s v="Giocattoli"/>
    <n v="1472"/>
    <n v="4"/>
    <s v="Friuli-Venezia Giulia"/>
    <s v="PN"/>
    <s v="NORD"/>
    <n v="87"/>
    <x v="1"/>
  </r>
  <r>
    <d v="2014-05-25T00:00:00"/>
    <x v="1"/>
    <s v="Vercelli"/>
    <s v="Cancelleria"/>
    <n v="220"/>
    <n v="5"/>
    <s v="Piemonte"/>
    <s v="VC"/>
    <s v="NORD"/>
    <n v="87"/>
    <x v="0"/>
  </r>
  <r>
    <d v="2014-06-19T00:00:00"/>
    <x v="4"/>
    <s v="Perugia"/>
    <s v="Giocattoli"/>
    <n v="397"/>
    <n v="2"/>
    <s v="Umbria"/>
    <s v="PG"/>
    <s v="CENTRO"/>
    <n v="84"/>
    <x v="0"/>
  </r>
  <r>
    <d v="2014-05-10T00:00:00"/>
    <x v="5"/>
    <s v="Viterbo"/>
    <s v="Giocattoli"/>
    <n v="844"/>
    <n v="5"/>
    <s v="Lazio"/>
    <s v="VT"/>
    <s v="CENTRO"/>
    <n v="80"/>
    <x v="2"/>
  </r>
  <r>
    <d v="2014-01-16T00:00:00"/>
    <x v="4"/>
    <s v="Salerno"/>
    <s v="Giocattoli"/>
    <n v="1733"/>
    <n v="3"/>
    <s v="Campania"/>
    <s v="SA"/>
    <s v="SUD"/>
    <n v="84"/>
    <x v="4"/>
  </r>
  <r>
    <d v="2014-04-04T00:00:00"/>
    <x v="5"/>
    <s v="Teramo"/>
    <s v="Informatica"/>
    <n v="1937"/>
    <n v="1"/>
    <s v="Abruzzo"/>
    <s v="TE"/>
    <s v="CENTRO"/>
    <n v="80"/>
    <x v="4"/>
  </r>
  <r>
    <d v="2014-04-10T00:00:00"/>
    <x v="3"/>
    <s v="Potenza"/>
    <s v="Giocattoli"/>
    <n v="591"/>
    <n v="3"/>
    <s v="Basilicata"/>
    <s v="PZ"/>
    <s v="SUD"/>
    <n v="96"/>
    <x v="3"/>
  </r>
  <r>
    <d v="2014-04-02T00:00:00"/>
    <x v="2"/>
    <s v="Pistoia"/>
    <s v="Libri"/>
    <n v="1022"/>
    <n v="3"/>
    <s v="Toscana"/>
    <s v="PT"/>
    <s v="CENTRO"/>
    <n v="83"/>
    <x v="2"/>
  </r>
  <r>
    <d v="2014-04-27T00:00:00"/>
    <x v="5"/>
    <s v="Varese"/>
    <s v="Cancelleria"/>
    <n v="990"/>
    <n v="5"/>
    <s v="Lombardia"/>
    <s v="VA"/>
    <s v="NORD"/>
    <n v="80"/>
    <x v="2"/>
  </r>
  <r>
    <d v="2014-06-01T00:00:00"/>
    <x v="1"/>
    <s v="Perugia"/>
    <s v="Art. Regalo"/>
    <n v="842"/>
    <n v="2"/>
    <s v="Umbria"/>
    <s v="PG"/>
    <s v="CENTRO"/>
    <n v="87"/>
    <x v="2"/>
  </r>
  <r>
    <d v="2014-05-04T00:00:00"/>
    <x v="4"/>
    <s v="Verbano-Cusio-Ossola"/>
    <s v="Giocattoli"/>
    <n v="506"/>
    <n v="5"/>
    <s v="Piemonte"/>
    <s v="VB"/>
    <s v="NORD"/>
    <n v="84"/>
    <x v="3"/>
  </r>
  <r>
    <d v="2014-04-18T00:00:00"/>
    <x v="4"/>
    <s v="Perugia"/>
    <s v="Libri"/>
    <n v="1170"/>
    <n v="3"/>
    <s v="Umbria"/>
    <s v="PG"/>
    <s v="CENTRO"/>
    <n v="84"/>
    <x v="2"/>
  </r>
  <r>
    <d v="2014-05-18T00:00:00"/>
    <x v="3"/>
    <s v="Terni"/>
    <s v="Art. Regalo"/>
    <n v="460"/>
    <n v="4"/>
    <s v="Umbria"/>
    <s v="TR"/>
    <s v="CENTRO"/>
    <n v="96"/>
    <x v="3"/>
  </r>
  <r>
    <d v="2014-06-13T00:00:00"/>
    <x v="2"/>
    <s v="Sassari"/>
    <s v="Art. Regalo"/>
    <n v="1321"/>
    <n v="1"/>
    <s v="Sardegna"/>
    <s v="SS"/>
    <s v="ISOLE"/>
    <n v="83"/>
    <x v="1"/>
  </r>
  <r>
    <d v="2014-04-27T00:00:00"/>
    <x v="4"/>
    <s v="Ragusa"/>
    <s v="Libri"/>
    <n v="166"/>
    <n v="5"/>
    <s v="Sicilia"/>
    <s v="RG"/>
    <s v="ISOLE"/>
    <n v="84"/>
    <x v="0"/>
  </r>
  <r>
    <d v="2014-05-12T00:00:00"/>
    <x v="0"/>
    <s v="Viterbo"/>
    <s v="Libri"/>
    <n v="1115"/>
    <n v="1"/>
    <s v="Lazio"/>
    <s v="VT"/>
    <s v="CENTRO"/>
    <n v="70"/>
    <x v="2"/>
  </r>
  <r>
    <d v="2014-02-26T00:00:00"/>
    <x v="1"/>
    <s v="Perugia"/>
    <s v="Libri"/>
    <n v="1919"/>
    <n v="2"/>
    <s v="Umbria"/>
    <s v="PG"/>
    <s v="CENTRO"/>
    <n v="87"/>
    <x v="4"/>
  </r>
  <r>
    <d v="2014-06-19T00:00:00"/>
    <x v="3"/>
    <s v="Rovigo"/>
    <s v="Libri"/>
    <n v="1514"/>
    <n v="3"/>
    <s v="Veneto"/>
    <s v="RO"/>
    <s v="NORD"/>
    <n v="96"/>
    <x v="4"/>
  </r>
  <r>
    <d v="2014-05-24T00:00:00"/>
    <x v="4"/>
    <s v="Rovigo"/>
    <s v="Cancelleria"/>
    <n v="3"/>
    <n v="2"/>
    <s v="Veneto"/>
    <s v="RO"/>
    <s v="NORD"/>
    <n v="84"/>
    <x v="0"/>
  </r>
  <r>
    <d v="2014-05-01T00:00:00"/>
    <x v="1"/>
    <s v="Sondrio"/>
    <s v="Giocattoli"/>
    <n v="445"/>
    <n v="2"/>
    <s v="Lombardia"/>
    <s v="SO"/>
    <s v="NORD"/>
    <n v="87"/>
    <x v="3"/>
  </r>
  <r>
    <d v="2014-02-25T00:00:00"/>
    <x v="3"/>
    <s v="Trapani"/>
    <s v="Art. Regalo"/>
    <n v="1028"/>
    <n v="4"/>
    <s v="Sicilia"/>
    <s v="TP"/>
    <s v="ISOLE"/>
    <n v="96"/>
    <x v="2"/>
  </r>
  <r>
    <d v="2014-04-26T00:00:00"/>
    <x v="2"/>
    <s v="Pesaro e Urbino"/>
    <s v="Cancelleria"/>
    <n v="893"/>
    <n v="4"/>
    <s v="Marche"/>
    <s v="PS"/>
    <s v="CENTRO"/>
    <n v="83"/>
    <x v="2"/>
  </r>
  <r>
    <d v="2014-05-03T00:00:00"/>
    <x v="0"/>
    <s v="Rovigo"/>
    <s v="Cancelleria"/>
    <n v="1421"/>
    <n v="1"/>
    <s v="Veneto"/>
    <s v="RO"/>
    <s v="NORD"/>
    <n v="70"/>
    <x v="1"/>
  </r>
  <r>
    <d v="2014-06-10T00:00:00"/>
    <x v="3"/>
    <s v="Sondrio"/>
    <s v="Giocattoli"/>
    <n v="1941"/>
    <n v="2"/>
    <s v="Lombardia"/>
    <s v="SO"/>
    <s v="NORD"/>
    <n v="96"/>
    <x v="4"/>
  </r>
  <r>
    <d v="2014-02-04T00:00:00"/>
    <x v="2"/>
    <s v="Savona"/>
    <s v="Cancelleria"/>
    <n v="1537"/>
    <n v="5"/>
    <s v="Liguria"/>
    <s v="SV"/>
    <s v="NORD"/>
    <n v="83"/>
    <x v="4"/>
  </r>
  <r>
    <d v="2014-01-30T00:00:00"/>
    <x v="4"/>
    <s v="Pesaro e Urbino"/>
    <s v="Informatica"/>
    <n v="1957"/>
    <n v="3"/>
    <s v="Marche"/>
    <s v="PS"/>
    <s v="CENTRO"/>
    <n v="84"/>
    <x v="4"/>
  </r>
  <r>
    <d v="2014-05-29T00:00:00"/>
    <x v="0"/>
    <s v="Pesaro e Urbino"/>
    <s v="Informatica"/>
    <n v="307"/>
    <n v="3"/>
    <s v="Marche"/>
    <s v="PS"/>
    <s v="CENTRO"/>
    <n v="70"/>
    <x v="0"/>
  </r>
  <r>
    <d v="2014-04-17T00:00:00"/>
    <x v="5"/>
    <s v="Siracusa"/>
    <s v="Cancelleria"/>
    <n v="1128"/>
    <n v="3"/>
    <s v="Sicilia"/>
    <s v="SR"/>
    <s v="ISOLE"/>
    <n v="80"/>
    <x v="2"/>
  </r>
  <r>
    <d v="2014-04-30T00:00:00"/>
    <x v="5"/>
    <s v="Sassari"/>
    <s v="Libri"/>
    <n v="849"/>
    <n v="2"/>
    <s v="Sardegna"/>
    <s v="SS"/>
    <s v="ISOLE"/>
    <n v="80"/>
    <x v="2"/>
  </r>
  <r>
    <d v="2014-06-29T00:00:00"/>
    <x v="5"/>
    <s v="Varese"/>
    <s v="Cancelleria"/>
    <n v="1252"/>
    <n v="1"/>
    <s v="Lombardia"/>
    <s v="VA"/>
    <s v="NORD"/>
    <n v="80"/>
    <x v="1"/>
  </r>
  <r>
    <d v="2014-05-06T00:00:00"/>
    <x v="0"/>
    <s v="Udine"/>
    <s v="Giocattoli"/>
    <n v="1965"/>
    <n v="4"/>
    <s v="Friuli-Venezia Giulia"/>
    <s v="UD"/>
    <s v="NORD"/>
    <n v="70"/>
    <x v="4"/>
  </r>
  <r>
    <d v="2014-04-03T00:00:00"/>
    <x v="3"/>
    <s v="Siena"/>
    <s v="Cancelleria"/>
    <n v="667"/>
    <n v="5"/>
    <s v="Toscana"/>
    <s v="SI"/>
    <s v="CENTRO"/>
    <n v="96"/>
    <x v="3"/>
  </r>
  <r>
    <d v="2014-02-22T00:00:00"/>
    <x v="5"/>
    <s v="Viterbo"/>
    <s v="Informatica"/>
    <n v="653"/>
    <n v="3"/>
    <s v="Lazio"/>
    <s v="VT"/>
    <s v="CENTRO"/>
    <n v="80"/>
    <x v="3"/>
  </r>
  <r>
    <d v="2014-06-29T00:00:00"/>
    <x v="1"/>
    <s v="Roma"/>
    <s v="Libri"/>
    <n v="1602"/>
    <n v="4"/>
    <s v="Lazio"/>
    <s v="RM"/>
    <s v="CENTRO"/>
    <n v="87"/>
    <x v="4"/>
  </r>
  <r>
    <d v="2014-06-23T00:00:00"/>
    <x v="2"/>
    <s v="Savona"/>
    <s v="Libri"/>
    <n v="1609"/>
    <n v="2"/>
    <s v="Liguria"/>
    <s v="SV"/>
    <s v="NORD"/>
    <n v="83"/>
    <x v="4"/>
  </r>
  <r>
    <d v="2014-05-05T00:00:00"/>
    <x v="2"/>
    <s v="Pesaro e Urbino"/>
    <s v="Giocattoli"/>
    <n v="1234"/>
    <n v="4"/>
    <s v="Marche"/>
    <s v="PS"/>
    <s v="CENTRO"/>
    <n v="83"/>
    <x v="1"/>
  </r>
  <r>
    <d v="2014-03-29T00:00:00"/>
    <x v="1"/>
    <s v="Terni"/>
    <s v="Cancelleria"/>
    <n v="186"/>
    <n v="3"/>
    <s v="Umbria"/>
    <s v="TR"/>
    <s v="CENTRO"/>
    <n v="87"/>
    <x v="0"/>
  </r>
  <r>
    <d v="2014-05-03T00:00:00"/>
    <x v="4"/>
    <s v="Pistoia"/>
    <s v="Cancelleria"/>
    <n v="556"/>
    <n v="4"/>
    <s v="Toscana"/>
    <s v="PT"/>
    <s v="CENTRO"/>
    <n v="84"/>
    <x v="3"/>
  </r>
  <r>
    <d v="2014-06-14T00:00:00"/>
    <x v="3"/>
    <s v="Torino"/>
    <s v="Art. Regalo"/>
    <n v="408"/>
    <n v="5"/>
    <s v="Piemonte"/>
    <s v="TO"/>
    <s v="NORD"/>
    <n v="96"/>
    <x v="3"/>
  </r>
  <r>
    <d v="2014-03-08T00:00:00"/>
    <x v="3"/>
    <s v="Vibo Valentia"/>
    <s v="Libri"/>
    <n v="754"/>
    <n v="3"/>
    <s v="Calabria"/>
    <s v="VV"/>
    <s v="SUD"/>
    <n v="96"/>
    <x v="3"/>
  </r>
  <r>
    <d v="2014-01-06T00:00:00"/>
    <x v="1"/>
    <s v="Verbano-Cusio-Ossola"/>
    <s v="Libri"/>
    <n v="131"/>
    <n v="1"/>
    <s v="Piemonte"/>
    <s v="VB"/>
    <s v="NORD"/>
    <n v="87"/>
    <x v="0"/>
  </r>
  <r>
    <d v="2014-02-22T00:00:00"/>
    <x v="4"/>
    <s v="Sassari"/>
    <s v="Giocattoli"/>
    <n v="1494"/>
    <n v="5"/>
    <s v="Sardegna"/>
    <s v="SS"/>
    <s v="ISOLE"/>
    <n v="84"/>
    <x v="1"/>
  </r>
  <r>
    <d v="2014-04-24T00:00:00"/>
    <x v="3"/>
    <s v="Verbano-Cusio-Ossola"/>
    <s v="Art. Regalo"/>
    <n v="1960"/>
    <n v="5"/>
    <s v="Piemonte"/>
    <s v="VB"/>
    <s v="NORD"/>
    <n v="96"/>
    <x v="4"/>
  </r>
  <r>
    <d v="2014-02-19T00:00:00"/>
    <x v="1"/>
    <s v="Ragusa"/>
    <s v="Art. Regalo"/>
    <n v="1586"/>
    <n v="4"/>
    <s v="Sicilia"/>
    <s v="RG"/>
    <s v="ISOLE"/>
    <n v="87"/>
    <x v="4"/>
  </r>
  <r>
    <d v="2014-02-12T00:00:00"/>
    <x v="2"/>
    <s v="Pisa"/>
    <s v="Cancelleria"/>
    <n v="255"/>
    <n v="1"/>
    <s v="Toscana"/>
    <s v="PI"/>
    <s v="CENTRO"/>
    <n v="83"/>
    <x v="0"/>
  </r>
  <r>
    <d v="2014-01-20T00:00:00"/>
    <x v="5"/>
    <s v="Sondrio"/>
    <s v="Giocattoli"/>
    <n v="1469"/>
    <n v="2"/>
    <s v="Lombardia"/>
    <s v="SO"/>
    <s v="NORD"/>
    <n v="80"/>
    <x v="1"/>
  </r>
  <r>
    <d v="2014-03-31T00:00:00"/>
    <x v="2"/>
    <s v="Pesaro e Urbino"/>
    <s v="Art. Regalo"/>
    <n v="1321"/>
    <n v="4"/>
    <s v="Marche"/>
    <s v="PS"/>
    <s v="CENTRO"/>
    <n v="83"/>
    <x v="1"/>
  </r>
  <r>
    <d v="2014-04-12T00:00:00"/>
    <x v="1"/>
    <s v="Treviso"/>
    <s v="Giocattoli"/>
    <n v="735"/>
    <n v="2"/>
    <s v="Veneto"/>
    <s v="TV"/>
    <s v="NORD"/>
    <n v="87"/>
    <x v="3"/>
  </r>
  <r>
    <d v="2014-04-03T00:00:00"/>
    <x v="4"/>
    <s v="Siena"/>
    <s v="Art. Regalo"/>
    <n v="153"/>
    <n v="3"/>
    <s v="Toscana"/>
    <s v="SI"/>
    <s v="CENTRO"/>
    <n v="84"/>
    <x v="0"/>
  </r>
  <r>
    <d v="2014-03-29T00:00:00"/>
    <x v="0"/>
    <s v="Pistoia"/>
    <s v="Giocattoli"/>
    <n v="1474"/>
    <n v="1"/>
    <s v="Toscana"/>
    <s v="PT"/>
    <s v="CENTRO"/>
    <n v="70"/>
    <x v="1"/>
  </r>
  <r>
    <d v="2014-05-17T00:00:00"/>
    <x v="1"/>
    <s v="Rovigo"/>
    <s v="Art. Regalo"/>
    <n v="1108"/>
    <n v="2"/>
    <s v="Veneto"/>
    <s v="RO"/>
    <s v="NORD"/>
    <n v="87"/>
    <x v="2"/>
  </r>
  <r>
    <d v="2014-05-07T00:00:00"/>
    <x v="4"/>
    <s v="Perugia"/>
    <s v="Cancelleria"/>
    <n v="1430"/>
    <n v="4"/>
    <s v="Umbria"/>
    <s v="PG"/>
    <s v="CENTRO"/>
    <n v="84"/>
    <x v="1"/>
  </r>
  <r>
    <d v="2014-02-10T00:00:00"/>
    <x v="4"/>
    <s v="Roma"/>
    <s v="Art. Regalo"/>
    <n v="788"/>
    <n v="5"/>
    <s v="Lazio"/>
    <s v="RM"/>
    <s v="CENTRO"/>
    <n v="84"/>
    <x v="3"/>
  </r>
  <r>
    <d v="2014-05-15T00:00:00"/>
    <x v="4"/>
    <s v="Viterbo"/>
    <s v="Art. Regalo"/>
    <n v="1362"/>
    <n v="3"/>
    <s v="Lazio"/>
    <s v="VT"/>
    <s v="CENTRO"/>
    <n v="84"/>
    <x v="1"/>
  </r>
  <r>
    <d v="2014-02-25T00:00:00"/>
    <x v="0"/>
    <s v="Vibo Valentia"/>
    <s v="Informatica"/>
    <n v="744"/>
    <n v="3"/>
    <s v="Calabria"/>
    <s v="VV"/>
    <s v="SUD"/>
    <n v="70"/>
    <x v="3"/>
  </r>
  <r>
    <d v="2014-05-16T00:00:00"/>
    <x v="4"/>
    <s v="Venezia"/>
    <s v="Informatica"/>
    <n v="1252"/>
    <n v="2"/>
    <s v="Veneto"/>
    <s v="VE"/>
    <s v="NORD"/>
    <n v="84"/>
    <x v="1"/>
  </r>
  <r>
    <d v="2014-05-03T00:00:00"/>
    <x v="4"/>
    <s v="Savona"/>
    <s v="Art. Regalo"/>
    <n v="1378"/>
    <n v="3"/>
    <s v="Liguria"/>
    <s v="SV"/>
    <s v="NORD"/>
    <n v="84"/>
    <x v="1"/>
  </r>
  <r>
    <d v="2014-02-12T00:00:00"/>
    <x v="3"/>
    <s v="Perugia"/>
    <s v="Informatica"/>
    <n v="192"/>
    <n v="5"/>
    <s v="Umbria"/>
    <s v="PG"/>
    <s v="CENTRO"/>
    <n v="96"/>
    <x v="0"/>
  </r>
  <r>
    <d v="2014-06-24T00:00:00"/>
    <x v="5"/>
    <s v="Sondrio"/>
    <s v="Art. Regalo"/>
    <n v="1876"/>
    <n v="2"/>
    <s v="Lombardia"/>
    <s v="SO"/>
    <s v="NORD"/>
    <n v="80"/>
    <x v="4"/>
  </r>
  <r>
    <d v="2014-04-22T00:00:00"/>
    <x v="4"/>
    <s v="Reggio di Calabria"/>
    <s v="Informatica"/>
    <n v="1640"/>
    <n v="1"/>
    <s v="Calabria"/>
    <s v="RC"/>
    <s v="SUD"/>
    <n v="84"/>
    <x v="4"/>
  </r>
  <r>
    <d v="2014-02-16T00:00:00"/>
    <x v="0"/>
    <s v="Verbano-Cusio-Ossola"/>
    <s v="Libri"/>
    <n v="848"/>
    <n v="4"/>
    <s v="Piemonte"/>
    <s v="VB"/>
    <s v="NORD"/>
    <n v="70"/>
    <x v="2"/>
  </r>
  <r>
    <d v="2014-01-12T00:00:00"/>
    <x v="3"/>
    <s v="Venezia"/>
    <s v="Informatica"/>
    <n v="692"/>
    <n v="1"/>
    <s v="Veneto"/>
    <s v="VE"/>
    <s v="NORD"/>
    <n v="96"/>
    <x v="3"/>
  </r>
  <r>
    <d v="2014-01-07T00:00:00"/>
    <x v="5"/>
    <s v="Prato"/>
    <s v="Informatica"/>
    <n v="549"/>
    <n v="1"/>
    <s v="Toscana"/>
    <s v="PO"/>
    <s v="CENTRO"/>
    <n v="80"/>
    <x v="3"/>
  </r>
  <r>
    <d v="2014-02-24T00:00:00"/>
    <x v="4"/>
    <s v="Ravenna"/>
    <s v="Art. Regalo"/>
    <n v="1482"/>
    <n v="2"/>
    <s v="Emilia-Romagna"/>
    <s v="RA"/>
    <s v="NORD"/>
    <n v="84"/>
    <x v="1"/>
  </r>
  <r>
    <d v="2014-03-02T00:00:00"/>
    <x v="3"/>
    <s v="Pisa"/>
    <s v="Giocattoli"/>
    <n v="3"/>
    <n v="5"/>
    <s v="Toscana"/>
    <s v="PI"/>
    <s v="CENTRO"/>
    <n v="96"/>
    <x v="0"/>
  </r>
  <r>
    <d v="2014-04-19T00:00:00"/>
    <x v="0"/>
    <s v="Treviso"/>
    <s v="Art. Regalo"/>
    <n v="467"/>
    <n v="3"/>
    <s v="Veneto"/>
    <s v="TV"/>
    <s v="NORD"/>
    <n v="70"/>
    <x v="3"/>
  </r>
  <r>
    <d v="2014-06-21T00:00:00"/>
    <x v="3"/>
    <s v="Rimini"/>
    <s v="Cancelleria"/>
    <n v="1746"/>
    <n v="3"/>
    <s v="Emilia-Romagna"/>
    <s v="RN"/>
    <s v="NORD"/>
    <n v="96"/>
    <x v="4"/>
  </r>
  <r>
    <d v="2014-01-10T00:00:00"/>
    <x v="5"/>
    <s v="Rieti"/>
    <s v="Cancelleria"/>
    <n v="681"/>
    <n v="4"/>
    <s v="Lazio"/>
    <s v="RI"/>
    <s v="CENTRO"/>
    <n v="80"/>
    <x v="3"/>
  </r>
  <r>
    <d v="2014-03-27T00:00:00"/>
    <x v="0"/>
    <s v="Ravenna"/>
    <s v="Giocattoli"/>
    <n v="136"/>
    <n v="3"/>
    <s v="Emilia-Romagna"/>
    <s v="RA"/>
    <s v="NORD"/>
    <n v="70"/>
    <x v="0"/>
  </r>
  <r>
    <d v="2014-06-02T00:00:00"/>
    <x v="4"/>
    <s v="Vibo Valentia"/>
    <s v="Informatica"/>
    <n v="1600"/>
    <n v="3"/>
    <s v="Calabria"/>
    <s v="VV"/>
    <s v="SUD"/>
    <n v="84"/>
    <x v="4"/>
  </r>
  <r>
    <d v="2014-03-23T00:00:00"/>
    <x v="4"/>
    <s v="Viterbo"/>
    <s v="Cancelleria"/>
    <n v="1825"/>
    <n v="5"/>
    <s v="Lazio"/>
    <s v="VT"/>
    <s v="CENTRO"/>
    <n v="84"/>
    <x v="4"/>
  </r>
  <r>
    <d v="2014-04-01T00:00:00"/>
    <x v="0"/>
    <s v="Treviso"/>
    <s v="Cancelleria"/>
    <n v="957"/>
    <n v="1"/>
    <s v="Veneto"/>
    <s v="TV"/>
    <s v="NORD"/>
    <n v="70"/>
    <x v="2"/>
  </r>
  <r>
    <d v="2014-06-23T00:00:00"/>
    <x v="3"/>
    <s v="Savona"/>
    <s v="Libri"/>
    <n v="1941"/>
    <n v="5"/>
    <s v="Liguria"/>
    <s v="SV"/>
    <s v="NORD"/>
    <n v="96"/>
    <x v="4"/>
  </r>
  <r>
    <d v="2014-04-12T00:00:00"/>
    <x v="4"/>
    <s v="Teramo"/>
    <s v="Art. Regalo"/>
    <n v="417"/>
    <n v="1"/>
    <s v="Abruzzo"/>
    <s v="TE"/>
    <s v="CENTRO"/>
    <n v="84"/>
    <x v="3"/>
  </r>
  <r>
    <d v="2014-02-25T00:00:00"/>
    <x v="5"/>
    <s v="Vibo Valentia"/>
    <s v="Libri"/>
    <n v="1839"/>
    <n v="4"/>
    <s v="Calabria"/>
    <s v="VV"/>
    <s v="SUD"/>
    <n v="80"/>
    <x v="4"/>
  </r>
  <r>
    <d v="2014-02-05T00:00:00"/>
    <x v="1"/>
    <s v="Udine"/>
    <s v="Giocattoli"/>
    <n v="1647"/>
    <n v="1"/>
    <s v="Friuli-Venezia Giulia"/>
    <s v="UD"/>
    <s v="NORD"/>
    <n v="87"/>
    <x v="4"/>
  </r>
  <r>
    <d v="2014-03-13T00:00:00"/>
    <x v="4"/>
    <s v="Ravenna"/>
    <s v="Libri"/>
    <n v="87"/>
    <n v="5"/>
    <s v="Emilia-Romagna"/>
    <s v="RA"/>
    <s v="NORD"/>
    <n v="84"/>
    <x v="0"/>
  </r>
  <r>
    <d v="2014-03-22T00:00:00"/>
    <x v="4"/>
    <s v="Pescara"/>
    <s v="Informatica"/>
    <n v="1123"/>
    <n v="2"/>
    <s v="Abruzzo"/>
    <s v="PE"/>
    <s v="CENTRO"/>
    <n v="84"/>
    <x v="2"/>
  </r>
  <r>
    <d v="2014-01-15T00:00:00"/>
    <x v="2"/>
    <s v="Salerno"/>
    <s v="Libri"/>
    <n v="1881"/>
    <n v="1"/>
    <s v="Campania"/>
    <s v="SA"/>
    <s v="SUD"/>
    <n v="83"/>
    <x v="4"/>
  </r>
  <r>
    <d v="2014-03-09T00:00:00"/>
    <x v="3"/>
    <s v="Pistoia"/>
    <s v="Libri"/>
    <n v="517"/>
    <n v="1"/>
    <s v="Toscana"/>
    <s v="PT"/>
    <s v="CENTRO"/>
    <n v="96"/>
    <x v="3"/>
  </r>
  <r>
    <d v="2014-01-23T00:00:00"/>
    <x v="0"/>
    <s v="Siena"/>
    <s v="Cancelleria"/>
    <n v="1662"/>
    <n v="3"/>
    <s v="Toscana"/>
    <s v="SI"/>
    <s v="CENTRO"/>
    <n v="70"/>
    <x v="4"/>
  </r>
  <r>
    <d v="2014-03-26T00:00:00"/>
    <x v="0"/>
    <s v="Venezia"/>
    <s v="Libri"/>
    <n v="540"/>
    <n v="4"/>
    <s v="Veneto"/>
    <s v="VE"/>
    <s v="NORD"/>
    <n v="70"/>
    <x v="3"/>
  </r>
  <r>
    <d v="2014-04-23T00:00:00"/>
    <x v="1"/>
    <s v="Reggio di Calabria"/>
    <s v="Informatica"/>
    <n v="207"/>
    <n v="1"/>
    <s v="Calabria"/>
    <s v="RC"/>
    <s v="SUD"/>
    <n v="87"/>
    <x v="0"/>
  </r>
  <r>
    <d v="2014-02-15T00:00:00"/>
    <x v="0"/>
    <s v="Piacenza"/>
    <s v="Cancelleria"/>
    <n v="879"/>
    <n v="2"/>
    <s v="Emilia-Romagna"/>
    <s v="PC"/>
    <s v="NORD"/>
    <n v="70"/>
    <x v="2"/>
  </r>
  <r>
    <d v="2014-02-26T00:00:00"/>
    <x v="4"/>
    <s v="Ragusa"/>
    <s v="Libri"/>
    <n v="1602"/>
    <n v="5"/>
    <s v="Sicilia"/>
    <s v="RG"/>
    <s v="ISOLE"/>
    <n v="84"/>
    <x v="4"/>
  </r>
  <r>
    <d v="2014-02-20T00:00:00"/>
    <x v="3"/>
    <s v="Potenza"/>
    <s v="Cancelleria"/>
    <n v="1061"/>
    <n v="1"/>
    <s v="Basilicata"/>
    <s v="PZ"/>
    <s v="SUD"/>
    <n v="96"/>
    <x v="2"/>
  </r>
  <r>
    <d v="2014-03-16T00:00:00"/>
    <x v="3"/>
    <s v="Pisa"/>
    <s v="Giocattoli"/>
    <n v="569"/>
    <n v="1"/>
    <s v="Toscana"/>
    <s v="PI"/>
    <s v="CENTRO"/>
    <n v="96"/>
    <x v="3"/>
  </r>
  <r>
    <d v="2014-06-03T00:00:00"/>
    <x v="1"/>
    <s v="Trapani"/>
    <s v="Libri"/>
    <n v="1479"/>
    <n v="3"/>
    <s v="Sicilia"/>
    <s v="TP"/>
    <s v="ISOLE"/>
    <n v="87"/>
    <x v="1"/>
  </r>
  <r>
    <d v="2014-04-22T00:00:00"/>
    <x v="0"/>
    <s v="Reggio di Calabria"/>
    <s v="Art. Regalo"/>
    <n v="1940"/>
    <n v="5"/>
    <s v="Calabria"/>
    <s v="RC"/>
    <s v="SUD"/>
    <n v="70"/>
    <x v="4"/>
  </r>
  <r>
    <d v="2014-03-07T00:00:00"/>
    <x v="4"/>
    <s v="Terni"/>
    <s v="Cancelleria"/>
    <n v="1590"/>
    <n v="5"/>
    <s v="Umbria"/>
    <s v="TR"/>
    <s v="CENTRO"/>
    <n v="84"/>
    <x v="4"/>
  </r>
  <r>
    <d v="2014-05-03T00:00:00"/>
    <x v="0"/>
    <s v="Pistoia"/>
    <s v="Informatica"/>
    <n v="882"/>
    <n v="1"/>
    <s v="Toscana"/>
    <s v="PT"/>
    <s v="CENTRO"/>
    <n v="70"/>
    <x v="2"/>
  </r>
  <r>
    <d v="2014-01-21T00:00:00"/>
    <x v="3"/>
    <s v="Taranto"/>
    <s v="Informatica"/>
    <n v="593"/>
    <n v="2"/>
    <s v="Puglia"/>
    <s v="TA"/>
    <s v="SUD"/>
    <n v="96"/>
    <x v="3"/>
  </r>
  <r>
    <d v="2014-06-24T00:00:00"/>
    <x v="5"/>
    <s v="Piacenza"/>
    <s v="Art. Regalo"/>
    <n v="1853"/>
    <n v="1"/>
    <s v="Emilia-Romagna"/>
    <s v="PC"/>
    <s v="NORD"/>
    <n v="80"/>
    <x v="4"/>
  </r>
  <r>
    <d v="2014-01-01T00:00:00"/>
    <x v="4"/>
    <s v="Pisa"/>
    <s v="Libri"/>
    <n v="1276"/>
    <n v="3"/>
    <s v="Toscana"/>
    <s v="PI"/>
    <s v="CENTRO"/>
    <n v="84"/>
    <x v="1"/>
  </r>
  <r>
    <d v="2014-01-12T00:00:00"/>
    <x v="1"/>
    <s v="Perugia"/>
    <s v="Cancelleria"/>
    <n v="563"/>
    <n v="1"/>
    <s v="Umbria"/>
    <s v="PG"/>
    <s v="CENTRO"/>
    <n v="87"/>
    <x v="3"/>
  </r>
  <r>
    <d v="2014-02-07T00:00:00"/>
    <x v="2"/>
    <s v="Vibo Valentia"/>
    <s v="Informatica"/>
    <n v="114"/>
    <n v="4"/>
    <s v="Calabria"/>
    <s v="VV"/>
    <s v="SUD"/>
    <n v="83"/>
    <x v="0"/>
  </r>
  <r>
    <d v="2014-01-23T00:00:00"/>
    <x v="2"/>
    <s v="Taranto"/>
    <s v="Libri"/>
    <n v="997"/>
    <n v="3"/>
    <s v="Puglia"/>
    <s v="TA"/>
    <s v="SUD"/>
    <n v="83"/>
    <x v="2"/>
  </r>
  <r>
    <d v="2014-05-12T00:00:00"/>
    <x v="3"/>
    <s v="Siena"/>
    <s v="Art. Regalo"/>
    <n v="492"/>
    <n v="1"/>
    <s v="Toscana"/>
    <s v="SI"/>
    <s v="CENTRO"/>
    <n v="96"/>
    <x v="3"/>
  </r>
  <r>
    <d v="2014-02-09T00:00:00"/>
    <x v="5"/>
    <s v="Viterbo"/>
    <s v="Giocattoli"/>
    <n v="1722"/>
    <n v="3"/>
    <s v="Lazio"/>
    <s v="VT"/>
    <s v="CENTRO"/>
    <n v="80"/>
    <x v="4"/>
  </r>
  <r>
    <d v="2014-04-15T00:00:00"/>
    <x v="3"/>
    <s v="Venezia"/>
    <s v="Informatica"/>
    <n v="1314"/>
    <n v="5"/>
    <s v="Veneto"/>
    <s v="VE"/>
    <s v="NORD"/>
    <n v="96"/>
    <x v="1"/>
  </r>
  <r>
    <d v="2014-02-11T00:00:00"/>
    <x v="5"/>
    <s v="Rieti"/>
    <s v="Art. Regalo"/>
    <n v="702"/>
    <n v="2"/>
    <s v="Lazio"/>
    <s v="RI"/>
    <s v="CENTRO"/>
    <n v="80"/>
    <x v="3"/>
  </r>
  <r>
    <d v="2014-06-28T00:00:00"/>
    <x v="1"/>
    <s v="Sassari"/>
    <s v="Informatica"/>
    <n v="1090"/>
    <n v="2"/>
    <s v="Sardegna"/>
    <s v="SS"/>
    <s v="ISOLE"/>
    <n v="87"/>
    <x v="2"/>
  </r>
  <r>
    <d v="2014-06-04T00:00:00"/>
    <x v="2"/>
    <s v="Siena"/>
    <s v="Cancelleria"/>
    <n v="1552"/>
    <n v="5"/>
    <s v="Toscana"/>
    <s v="SI"/>
    <s v="CENTRO"/>
    <n v="83"/>
    <x v="4"/>
  </r>
  <r>
    <d v="2014-03-25T00:00:00"/>
    <x v="2"/>
    <s v="Reggio di Calabria"/>
    <s v="Informatica"/>
    <n v="1087"/>
    <n v="4"/>
    <s v="Calabria"/>
    <s v="RC"/>
    <s v="SUD"/>
    <n v="83"/>
    <x v="2"/>
  </r>
  <r>
    <d v="2014-04-26T00:00:00"/>
    <x v="3"/>
    <s v="Potenza"/>
    <s v="Art. Regalo"/>
    <n v="665"/>
    <n v="4"/>
    <s v="Basilicata"/>
    <s v="PZ"/>
    <s v="SUD"/>
    <n v="96"/>
    <x v="3"/>
  </r>
  <r>
    <d v="2014-05-16T00:00:00"/>
    <x v="2"/>
    <s v="Verona"/>
    <s v="Giocattoli"/>
    <n v="1247"/>
    <n v="5"/>
    <s v="Veneto"/>
    <s v="VR"/>
    <s v="NORD"/>
    <n v="83"/>
    <x v="1"/>
  </r>
  <r>
    <d v="2014-06-28T00:00:00"/>
    <x v="2"/>
    <s v="Reggio nell'Emilia"/>
    <s v="Libri"/>
    <n v="1265"/>
    <n v="5"/>
    <s v="Emilia-Romagna"/>
    <s v="RE"/>
    <s v="NORD"/>
    <n v="83"/>
    <x v="1"/>
  </r>
  <r>
    <d v="2014-05-15T00:00:00"/>
    <x v="4"/>
    <s v="Salerno"/>
    <s v="Giocattoli"/>
    <n v="828"/>
    <n v="3"/>
    <s v="Campania"/>
    <s v="SA"/>
    <s v="SUD"/>
    <n v="84"/>
    <x v="2"/>
  </r>
  <r>
    <d v="2014-02-28T00:00:00"/>
    <x v="4"/>
    <s v="Teramo"/>
    <s v="Giocattoli"/>
    <n v="1960"/>
    <n v="3"/>
    <s v="Abruzzo"/>
    <s v="TE"/>
    <s v="CENTRO"/>
    <n v="84"/>
    <x v="4"/>
  </r>
  <r>
    <d v="2014-01-26T00:00:00"/>
    <x v="5"/>
    <s v="Pavia"/>
    <s v="Art. Regalo"/>
    <n v="120"/>
    <n v="4"/>
    <s v="Lombardia"/>
    <s v="PV"/>
    <s v="NORD"/>
    <n v="80"/>
    <x v="0"/>
  </r>
  <r>
    <d v="2014-05-11T00:00:00"/>
    <x v="1"/>
    <s v="Roma"/>
    <s v="Art. Regalo"/>
    <n v="1951"/>
    <n v="3"/>
    <s v="Lazio"/>
    <s v="RM"/>
    <s v="CENTRO"/>
    <n v="87"/>
    <x v="4"/>
  </r>
  <r>
    <d v="2014-02-19T00:00:00"/>
    <x v="2"/>
    <s v="Pistoia"/>
    <s v="Art. Regalo"/>
    <n v="756"/>
    <n v="2"/>
    <s v="Toscana"/>
    <s v="PT"/>
    <s v="CENTRO"/>
    <n v="83"/>
    <x v="3"/>
  </r>
  <r>
    <d v="2014-06-07T00:00:00"/>
    <x v="3"/>
    <s v="Vibo Valentia"/>
    <s v="Informatica"/>
    <n v="178"/>
    <n v="5"/>
    <s v="Calabria"/>
    <s v="VV"/>
    <s v="SUD"/>
    <n v="96"/>
    <x v="0"/>
  </r>
  <r>
    <d v="2014-03-30T00:00:00"/>
    <x v="1"/>
    <s v="Trapani"/>
    <s v="Art. Regalo"/>
    <n v="912"/>
    <n v="4"/>
    <s v="Sicilia"/>
    <s v="TP"/>
    <s v="ISOLE"/>
    <n v="87"/>
    <x v="2"/>
  </r>
  <r>
    <d v="2014-05-02T00:00:00"/>
    <x v="2"/>
    <s v="Savona"/>
    <s v="Art. Regalo"/>
    <n v="216"/>
    <n v="1"/>
    <s v="Liguria"/>
    <s v="SV"/>
    <s v="NORD"/>
    <n v="83"/>
    <x v="0"/>
  </r>
  <r>
    <d v="2014-02-14T00:00:00"/>
    <x v="2"/>
    <s v="Venezia"/>
    <s v="Informatica"/>
    <n v="647"/>
    <n v="2"/>
    <s v="Veneto"/>
    <s v="VE"/>
    <s v="NORD"/>
    <n v="83"/>
    <x v="3"/>
  </r>
  <r>
    <d v="2014-04-13T00:00:00"/>
    <x v="1"/>
    <s v="Trapani"/>
    <s v="Informatica"/>
    <n v="1101"/>
    <n v="2"/>
    <s v="Sicilia"/>
    <s v="TP"/>
    <s v="ISOLE"/>
    <n v="87"/>
    <x v="2"/>
  </r>
  <r>
    <d v="2014-02-18T00:00:00"/>
    <x v="1"/>
    <s v="Perugia"/>
    <s v="Libri"/>
    <n v="426"/>
    <n v="2"/>
    <s v="Umbria"/>
    <s v="PG"/>
    <s v="CENTRO"/>
    <n v="87"/>
    <x v="3"/>
  </r>
  <r>
    <d v="2014-03-06T00:00:00"/>
    <x v="0"/>
    <s v="Trapani"/>
    <s v="Informatica"/>
    <n v="1476"/>
    <n v="1"/>
    <s v="Sicilia"/>
    <s v="TP"/>
    <s v="ISOLE"/>
    <n v="70"/>
    <x v="1"/>
  </r>
  <r>
    <d v="2014-03-17T00:00:00"/>
    <x v="3"/>
    <s v="Rieti"/>
    <s v="Informatica"/>
    <n v="1417"/>
    <n v="2"/>
    <s v="Lazio"/>
    <s v="RI"/>
    <s v="CENTRO"/>
    <n v="96"/>
    <x v="1"/>
  </r>
  <r>
    <d v="2014-06-09T00:00:00"/>
    <x v="2"/>
    <s v="Salerno"/>
    <s v="Libri"/>
    <n v="1715"/>
    <n v="2"/>
    <s v="Campania"/>
    <s v="SA"/>
    <s v="SUD"/>
    <n v="83"/>
    <x v="4"/>
  </r>
  <r>
    <d v="2014-05-26T00:00:00"/>
    <x v="1"/>
    <s v="Siena"/>
    <s v="Informatica"/>
    <n v="1289"/>
    <n v="4"/>
    <s v="Toscana"/>
    <s v="SI"/>
    <s v="CENTRO"/>
    <n v="87"/>
    <x v="1"/>
  </r>
  <r>
    <d v="2014-03-06T00:00:00"/>
    <x v="5"/>
    <s v="Pesaro e Urbino"/>
    <s v="Art. Regalo"/>
    <n v="1427"/>
    <n v="5"/>
    <s v="Marche"/>
    <s v="PS"/>
    <s v="CENTRO"/>
    <n v="80"/>
    <x v="1"/>
  </r>
  <r>
    <d v="2014-02-08T00:00:00"/>
    <x v="5"/>
    <s v="Sondrio"/>
    <s v="Cancelleria"/>
    <n v="445"/>
    <n v="5"/>
    <s v="Lombardia"/>
    <s v="SO"/>
    <s v="NORD"/>
    <n v="80"/>
    <x v="3"/>
  </r>
  <r>
    <d v="2014-05-17T00:00:00"/>
    <x v="3"/>
    <s v="Rimini"/>
    <s v="Libri"/>
    <n v="1390"/>
    <n v="4"/>
    <s v="Emilia-Romagna"/>
    <s v="RN"/>
    <s v="NORD"/>
    <n v="96"/>
    <x v="1"/>
  </r>
  <r>
    <d v="2014-06-03T00:00:00"/>
    <x v="4"/>
    <s v="Potenza"/>
    <s v="Informatica"/>
    <n v="1897"/>
    <n v="3"/>
    <s v="Basilicata"/>
    <s v="PZ"/>
    <s v="SUD"/>
    <n v="84"/>
    <x v="4"/>
  </r>
  <r>
    <d v="2014-02-20T00:00:00"/>
    <x v="0"/>
    <s v="Torino"/>
    <s v="Libri"/>
    <n v="713"/>
    <n v="5"/>
    <s v="Piemonte"/>
    <s v="TO"/>
    <s v="NORD"/>
    <n v="70"/>
    <x v="3"/>
  </r>
  <r>
    <d v="2014-04-17T00:00:00"/>
    <x v="0"/>
    <s v="Terni"/>
    <s v="Cancelleria"/>
    <n v="1509"/>
    <n v="2"/>
    <s v="Umbria"/>
    <s v="TR"/>
    <s v="CENTRO"/>
    <n v="70"/>
    <x v="4"/>
  </r>
  <r>
    <d v="2014-01-24T00:00:00"/>
    <x v="3"/>
    <s v="Sassari"/>
    <s v="Art. Regalo"/>
    <n v="210"/>
    <n v="4"/>
    <s v="Sardegna"/>
    <s v="SS"/>
    <s v="ISOLE"/>
    <n v="96"/>
    <x v="0"/>
  </r>
  <r>
    <d v="2014-04-26T00:00:00"/>
    <x v="1"/>
    <s v="Pescara"/>
    <s v="Cancelleria"/>
    <n v="660"/>
    <n v="3"/>
    <s v="Abruzzo"/>
    <s v="PE"/>
    <s v="CENTRO"/>
    <n v="87"/>
    <x v="3"/>
  </r>
  <r>
    <d v="2014-06-07T00:00:00"/>
    <x v="3"/>
    <s v="Perugia"/>
    <s v="Art. Regalo"/>
    <n v="872"/>
    <n v="2"/>
    <s v="Umbria"/>
    <s v="PG"/>
    <s v="CENTRO"/>
    <n v="96"/>
    <x v="2"/>
  </r>
  <r>
    <d v="2014-03-03T00:00:00"/>
    <x v="3"/>
    <s v="Torino"/>
    <s v="Cancelleria"/>
    <n v="1225"/>
    <n v="5"/>
    <s v="Piemonte"/>
    <s v="TO"/>
    <s v="NORD"/>
    <n v="96"/>
    <x v="1"/>
  </r>
  <r>
    <d v="2014-01-21T00:00:00"/>
    <x v="4"/>
    <s v="Sassari"/>
    <s v="Cancelleria"/>
    <n v="1916"/>
    <n v="5"/>
    <s v="Sardegna"/>
    <s v="SS"/>
    <s v="ISOLE"/>
    <n v="84"/>
    <x v="4"/>
  </r>
  <r>
    <d v="2014-06-12T00:00:00"/>
    <x v="3"/>
    <s v="Verbano-Cusio-Ossola"/>
    <s v="Cancelleria"/>
    <n v="1173"/>
    <n v="2"/>
    <s v="Piemonte"/>
    <s v="VB"/>
    <s v="NORD"/>
    <n v="96"/>
    <x v="2"/>
  </r>
  <r>
    <d v="2014-04-25T00:00:00"/>
    <x v="2"/>
    <s v="Roma"/>
    <s v="Libri"/>
    <n v="297"/>
    <n v="3"/>
    <s v="Lazio"/>
    <s v="RM"/>
    <s v="CENTRO"/>
    <n v="83"/>
    <x v="0"/>
  </r>
  <r>
    <d v="2014-06-30T00:00:00"/>
    <x v="1"/>
    <s v="Viterbo"/>
    <s v="Libri"/>
    <n v="1244"/>
    <n v="5"/>
    <s v="Lazio"/>
    <s v="VT"/>
    <s v="CENTRO"/>
    <n v="87"/>
    <x v="1"/>
  </r>
  <r>
    <d v="2014-02-06T00:00:00"/>
    <x v="1"/>
    <s v="Verbano-Cusio-Ossola"/>
    <s v="Giocattoli"/>
    <n v="1099"/>
    <n v="4"/>
    <s v="Piemonte"/>
    <s v="VB"/>
    <s v="NORD"/>
    <n v="87"/>
    <x v="2"/>
  </r>
  <r>
    <d v="2014-05-20T00:00:00"/>
    <x v="4"/>
    <s v="Pordenone"/>
    <s v="Giocattoli"/>
    <n v="1448"/>
    <n v="1"/>
    <s v="Friuli-Venezia Giulia"/>
    <s v="PN"/>
    <s v="NORD"/>
    <n v="84"/>
    <x v="1"/>
  </r>
  <r>
    <d v="2014-02-25T00:00:00"/>
    <x v="2"/>
    <s v="Ragusa"/>
    <s v="Libri"/>
    <n v="155"/>
    <n v="5"/>
    <s v="Sicilia"/>
    <s v="RG"/>
    <s v="ISOLE"/>
    <n v="83"/>
    <x v="0"/>
  </r>
  <r>
    <d v="2014-02-27T00:00:00"/>
    <x v="3"/>
    <s v="Verbano-Cusio-Ossola"/>
    <s v="Cancelleria"/>
    <n v="214"/>
    <n v="2"/>
    <s v="Piemonte"/>
    <s v="VB"/>
    <s v="NORD"/>
    <n v="96"/>
    <x v="0"/>
  </r>
  <r>
    <d v="2014-06-12T00:00:00"/>
    <x v="2"/>
    <s v="Trento"/>
    <s v="Informatica"/>
    <n v="1956"/>
    <n v="1"/>
    <s v="Trentino-Alto Adige"/>
    <s v="TN"/>
    <s v="NORD"/>
    <n v="83"/>
    <x v="4"/>
  </r>
  <r>
    <d v="2014-01-20T00:00:00"/>
    <x v="3"/>
    <s v="Torino"/>
    <s v="Art. Regalo"/>
    <n v="1938"/>
    <n v="3"/>
    <s v="Piemonte"/>
    <s v="TO"/>
    <s v="NORD"/>
    <n v="96"/>
    <x v="4"/>
  </r>
  <r>
    <d v="2014-05-04T00:00:00"/>
    <x v="2"/>
    <s v="Terni"/>
    <s v="Giocattoli"/>
    <n v="336"/>
    <n v="5"/>
    <s v="Umbria"/>
    <s v="TR"/>
    <s v="CENTRO"/>
    <n v="83"/>
    <x v="0"/>
  </r>
  <r>
    <d v="2014-01-01T00:00:00"/>
    <x v="0"/>
    <s v="Teramo"/>
    <s v="Giocattoli"/>
    <n v="1467"/>
    <n v="1"/>
    <s v="Abruzzo"/>
    <s v="TE"/>
    <s v="CENTRO"/>
    <n v="70"/>
    <x v="1"/>
  </r>
  <r>
    <d v="2014-06-04T00:00:00"/>
    <x v="5"/>
    <s v="Potenza"/>
    <s v="Cancelleria"/>
    <n v="308"/>
    <n v="5"/>
    <s v="Basilicata"/>
    <s v="PZ"/>
    <s v="SUD"/>
    <n v="80"/>
    <x v="0"/>
  </r>
  <r>
    <d v="2014-05-27T00:00:00"/>
    <x v="2"/>
    <s v="Trieste"/>
    <s v="Libri"/>
    <n v="1581"/>
    <n v="3"/>
    <s v="Friuli-Venezia Giulia"/>
    <s v="TS"/>
    <s v="NORD"/>
    <n v="83"/>
    <x v="4"/>
  </r>
  <r>
    <d v="2014-03-15T00:00:00"/>
    <x v="1"/>
    <s v="Vicenza"/>
    <s v="Giocattoli"/>
    <n v="539"/>
    <n v="5"/>
    <s v="Veneto"/>
    <s v="VI"/>
    <s v="NORD"/>
    <n v="87"/>
    <x v="3"/>
  </r>
  <r>
    <d v="2014-04-28T00:00:00"/>
    <x v="3"/>
    <s v="Terni"/>
    <s v="Giocattoli"/>
    <n v="1847"/>
    <n v="1"/>
    <s v="Umbria"/>
    <s v="TR"/>
    <s v="CENTRO"/>
    <n v="96"/>
    <x v="4"/>
  </r>
  <r>
    <d v="2014-01-05T00:00:00"/>
    <x v="5"/>
    <s v="Ravenna"/>
    <s v="Art. Regalo"/>
    <n v="495"/>
    <n v="3"/>
    <s v="Emilia-Romagna"/>
    <s v="RA"/>
    <s v="NORD"/>
    <n v="80"/>
    <x v="3"/>
  </r>
  <r>
    <d v="2014-01-11T00:00:00"/>
    <x v="5"/>
    <s v="Siena"/>
    <s v="Cancelleria"/>
    <n v="369"/>
    <n v="5"/>
    <s v="Toscana"/>
    <s v="SI"/>
    <s v="CENTRO"/>
    <n v="80"/>
    <x v="0"/>
  </r>
  <r>
    <d v="2014-05-24T00:00:00"/>
    <x v="4"/>
    <s v="Verona"/>
    <s v="Informatica"/>
    <n v="1963"/>
    <n v="3"/>
    <s v="Veneto"/>
    <s v="VR"/>
    <s v="NORD"/>
    <n v="84"/>
    <x v="4"/>
  </r>
  <r>
    <d v="2014-05-28T00:00:00"/>
    <x v="3"/>
    <s v="Salerno"/>
    <s v="Art. Regalo"/>
    <n v="1334"/>
    <n v="3"/>
    <s v="Campania"/>
    <s v="SA"/>
    <s v="SUD"/>
    <n v="96"/>
    <x v="1"/>
  </r>
  <r>
    <d v="2014-03-02T00:00:00"/>
    <x v="3"/>
    <s v="Trieste"/>
    <s v="Cancelleria"/>
    <n v="886"/>
    <n v="2"/>
    <s v="Friuli-Venezia Giulia"/>
    <s v="TS"/>
    <s v="NORD"/>
    <n v="96"/>
    <x v="2"/>
  </r>
  <r>
    <d v="2014-02-20T00:00:00"/>
    <x v="1"/>
    <s v="Trento"/>
    <s v="Libri"/>
    <n v="689"/>
    <n v="3"/>
    <s v="Trentino-Alto Adige"/>
    <s v="TN"/>
    <s v="NORD"/>
    <n v="87"/>
    <x v="3"/>
  </r>
  <r>
    <d v="2014-05-01T00:00:00"/>
    <x v="1"/>
    <s v="Treviso"/>
    <s v="Art. Regalo"/>
    <n v="1880"/>
    <n v="1"/>
    <s v="Veneto"/>
    <s v="TV"/>
    <s v="NORD"/>
    <n v="87"/>
    <x v="4"/>
  </r>
  <r>
    <d v="2014-01-28T00:00:00"/>
    <x v="1"/>
    <s v="Prato"/>
    <s v="Art. Regalo"/>
    <n v="1357"/>
    <n v="4"/>
    <s v="Toscana"/>
    <s v="PO"/>
    <s v="CENTRO"/>
    <n v="87"/>
    <x v="1"/>
  </r>
  <r>
    <d v="2014-02-17T00:00:00"/>
    <x v="2"/>
    <s v="Rieti"/>
    <s v="Libri"/>
    <n v="1007"/>
    <n v="5"/>
    <s v="Lazio"/>
    <s v="RI"/>
    <s v="CENTRO"/>
    <n v="83"/>
    <x v="2"/>
  </r>
  <r>
    <d v="2014-02-14T00:00:00"/>
    <x v="2"/>
    <s v="Siracusa"/>
    <s v="Art. Regalo"/>
    <n v="1126"/>
    <n v="3"/>
    <s v="Sicilia"/>
    <s v="SR"/>
    <s v="ISOLE"/>
    <n v="83"/>
    <x v="2"/>
  </r>
  <r>
    <d v="2014-02-17T00:00:00"/>
    <x v="3"/>
    <s v="Rovigo"/>
    <s v="Giocattoli"/>
    <n v="1779"/>
    <n v="1"/>
    <s v="Veneto"/>
    <s v="RO"/>
    <s v="NORD"/>
    <n v="96"/>
    <x v="4"/>
  </r>
  <r>
    <d v="2014-02-28T00:00:00"/>
    <x v="3"/>
    <s v="Roma"/>
    <s v="Giocattoli"/>
    <n v="668"/>
    <n v="1"/>
    <s v="Lazio"/>
    <s v="RM"/>
    <s v="CENTRO"/>
    <n v="96"/>
    <x v="3"/>
  </r>
  <r>
    <d v="2014-02-02T00:00:00"/>
    <x v="2"/>
    <s v="Trapani"/>
    <s v="Informatica"/>
    <n v="204"/>
    <n v="1"/>
    <s v="Sicilia"/>
    <s v="TP"/>
    <s v="ISOLE"/>
    <n v="83"/>
    <x v="0"/>
  </r>
  <r>
    <d v="2014-06-22T00:00:00"/>
    <x v="5"/>
    <s v="Potenza"/>
    <s v="Art. Regalo"/>
    <n v="1517"/>
    <n v="5"/>
    <s v="Basilicata"/>
    <s v="PZ"/>
    <s v="SUD"/>
    <n v="80"/>
    <x v="4"/>
  </r>
  <r>
    <d v="2014-04-12T00:00:00"/>
    <x v="5"/>
    <s v="Savona"/>
    <s v="Informatica"/>
    <n v="840"/>
    <n v="1"/>
    <s v="Liguria"/>
    <s v="SV"/>
    <s v="NORD"/>
    <n v="80"/>
    <x v="2"/>
  </r>
  <r>
    <d v="2014-05-03T00:00:00"/>
    <x v="1"/>
    <s v="Ragusa"/>
    <s v="Informatica"/>
    <n v="1724"/>
    <n v="1"/>
    <s v="Sicilia"/>
    <s v="RG"/>
    <s v="ISOLE"/>
    <n v="87"/>
    <x v="4"/>
  </r>
  <r>
    <d v="2014-02-21T00:00:00"/>
    <x v="3"/>
    <s v="Vibo Valentia"/>
    <s v="Informatica"/>
    <n v="951"/>
    <n v="3"/>
    <s v="Calabria"/>
    <s v="VV"/>
    <s v="SUD"/>
    <n v="96"/>
    <x v="2"/>
  </r>
  <r>
    <d v="2014-03-20T00:00:00"/>
    <x v="4"/>
    <s v="Trapani"/>
    <s v="Cancelleria"/>
    <n v="1892"/>
    <n v="4"/>
    <s v="Sicilia"/>
    <s v="TP"/>
    <s v="ISOLE"/>
    <n v="8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n v="360"/>
    <n v="3"/>
  </r>
  <r>
    <n v="2"/>
    <x v="1"/>
    <x v="1"/>
    <x v="1"/>
    <x v="0"/>
    <n v="1496"/>
    <n v="5"/>
  </r>
  <r>
    <n v="3"/>
    <x v="2"/>
    <x v="1"/>
    <x v="2"/>
    <x v="1"/>
    <n v="1342"/>
    <n v="4"/>
  </r>
  <r>
    <n v="4"/>
    <x v="3"/>
    <x v="2"/>
    <x v="3"/>
    <x v="2"/>
    <n v="972"/>
    <n v="1"/>
  </r>
  <r>
    <n v="5"/>
    <x v="4"/>
    <x v="1"/>
    <x v="4"/>
    <x v="1"/>
    <n v="348"/>
    <n v="2"/>
  </r>
  <r>
    <n v="6"/>
    <x v="5"/>
    <x v="1"/>
    <x v="5"/>
    <x v="3"/>
    <n v="31"/>
    <n v="1"/>
  </r>
  <r>
    <n v="7"/>
    <x v="6"/>
    <x v="1"/>
    <x v="6"/>
    <x v="2"/>
    <n v="1087"/>
    <n v="4"/>
  </r>
  <r>
    <n v="8"/>
    <x v="7"/>
    <x v="2"/>
    <x v="6"/>
    <x v="1"/>
    <n v="760"/>
    <n v="2"/>
  </r>
  <r>
    <n v="9"/>
    <x v="8"/>
    <x v="2"/>
    <x v="1"/>
    <x v="1"/>
    <n v="10"/>
    <n v="5"/>
  </r>
  <r>
    <n v="10"/>
    <x v="9"/>
    <x v="2"/>
    <x v="7"/>
    <x v="0"/>
    <n v="357"/>
    <n v="2"/>
  </r>
  <r>
    <n v="11"/>
    <x v="10"/>
    <x v="2"/>
    <x v="6"/>
    <x v="1"/>
    <n v="19"/>
    <n v="1"/>
  </r>
  <r>
    <n v="12"/>
    <x v="11"/>
    <x v="3"/>
    <x v="8"/>
    <x v="3"/>
    <n v="20"/>
    <n v="1"/>
  </r>
  <r>
    <n v="13"/>
    <x v="12"/>
    <x v="2"/>
    <x v="9"/>
    <x v="0"/>
    <n v="604"/>
    <n v="1"/>
  </r>
  <r>
    <n v="14"/>
    <x v="13"/>
    <x v="4"/>
    <x v="10"/>
    <x v="4"/>
    <n v="856"/>
    <n v="3"/>
  </r>
  <r>
    <n v="15"/>
    <x v="14"/>
    <x v="1"/>
    <x v="11"/>
    <x v="4"/>
    <n v="833"/>
    <n v="3"/>
  </r>
  <r>
    <n v="16"/>
    <x v="15"/>
    <x v="4"/>
    <x v="12"/>
    <x v="2"/>
    <n v="1782"/>
    <n v="2"/>
  </r>
  <r>
    <n v="17"/>
    <x v="16"/>
    <x v="1"/>
    <x v="13"/>
    <x v="4"/>
    <n v="1428"/>
    <n v="5"/>
  </r>
  <r>
    <n v="18"/>
    <x v="17"/>
    <x v="1"/>
    <x v="14"/>
    <x v="1"/>
    <n v="1677"/>
    <n v="5"/>
  </r>
  <r>
    <n v="19"/>
    <x v="18"/>
    <x v="5"/>
    <x v="8"/>
    <x v="2"/>
    <n v="1514"/>
    <n v="2"/>
  </r>
  <r>
    <n v="20"/>
    <x v="19"/>
    <x v="3"/>
    <x v="15"/>
    <x v="4"/>
    <n v="459"/>
    <n v="3"/>
  </r>
  <r>
    <n v="21"/>
    <x v="20"/>
    <x v="4"/>
    <x v="5"/>
    <x v="3"/>
    <n v="344"/>
    <n v="2"/>
  </r>
  <r>
    <n v="22"/>
    <x v="21"/>
    <x v="0"/>
    <x v="16"/>
    <x v="4"/>
    <n v="10"/>
    <n v="4"/>
  </r>
  <r>
    <n v="23"/>
    <x v="22"/>
    <x v="3"/>
    <x v="17"/>
    <x v="1"/>
    <n v="1582"/>
    <n v="3"/>
  </r>
  <r>
    <n v="24"/>
    <x v="2"/>
    <x v="2"/>
    <x v="18"/>
    <x v="4"/>
    <n v="1072"/>
    <n v="5"/>
  </r>
  <r>
    <n v="25"/>
    <x v="19"/>
    <x v="3"/>
    <x v="19"/>
    <x v="4"/>
    <n v="1793"/>
    <n v="5"/>
  </r>
  <r>
    <n v="26"/>
    <x v="23"/>
    <x v="0"/>
    <x v="8"/>
    <x v="3"/>
    <n v="1039"/>
    <n v="1"/>
  </r>
  <r>
    <n v="27"/>
    <x v="24"/>
    <x v="0"/>
    <x v="20"/>
    <x v="2"/>
    <n v="1114"/>
    <n v="5"/>
  </r>
  <r>
    <n v="28"/>
    <x v="25"/>
    <x v="2"/>
    <x v="1"/>
    <x v="3"/>
    <n v="643"/>
    <n v="1"/>
  </r>
  <r>
    <n v="29"/>
    <x v="26"/>
    <x v="5"/>
    <x v="11"/>
    <x v="3"/>
    <n v="328"/>
    <n v="4"/>
  </r>
  <r>
    <n v="30"/>
    <x v="27"/>
    <x v="1"/>
    <x v="21"/>
    <x v="2"/>
    <n v="95"/>
    <n v="3"/>
  </r>
  <r>
    <n v="31"/>
    <x v="28"/>
    <x v="1"/>
    <x v="12"/>
    <x v="0"/>
    <n v="270"/>
    <n v="5"/>
  </r>
  <r>
    <n v="32"/>
    <x v="29"/>
    <x v="0"/>
    <x v="6"/>
    <x v="2"/>
    <n v="1640"/>
    <n v="5"/>
  </r>
  <r>
    <n v="33"/>
    <x v="30"/>
    <x v="5"/>
    <x v="22"/>
    <x v="3"/>
    <n v="759"/>
    <n v="2"/>
  </r>
  <r>
    <n v="34"/>
    <x v="31"/>
    <x v="2"/>
    <x v="18"/>
    <x v="1"/>
    <n v="1288"/>
    <n v="1"/>
  </r>
  <r>
    <n v="35"/>
    <x v="32"/>
    <x v="2"/>
    <x v="23"/>
    <x v="0"/>
    <n v="1857"/>
    <n v="3"/>
  </r>
  <r>
    <n v="36"/>
    <x v="33"/>
    <x v="5"/>
    <x v="24"/>
    <x v="4"/>
    <n v="1558"/>
    <n v="3"/>
  </r>
  <r>
    <n v="37"/>
    <x v="34"/>
    <x v="5"/>
    <x v="10"/>
    <x v="4"/>
    <n v="1879"/>
    <n v="3"/>
  </r>
  <r>
    <n v="38"/>
    <x v="35"/>
    <x v="0"/>
    <x v="25"/>
    <x v="1"/>
    <n v="155"/>
    <n v="1"/>
  </r>
  <r>
    <n v="39"/>
    <x v="36"/>
    <x v="3"/>
    <x v="6"/>
    <x v="2"/>
    <n v="1361"/>
    <n v="3"/>
  </r>
  <r>
    <n v="40"/>
    <x v="37"/>
    <x v="0"/>
    <x v="20"/>
    <x v="0"/>
    <n v="735"/>
    <n v="5"/>
  </r>
  <r>
    <n v="41"/>
    <x v="12"/>
    <x v="3"/>
    <x v="4"/>
    <x v="3"/>
    <n v="1916"/>
    <n v="3"/>
  </r>
  <r>
    <n v="42"/>
    <x v="38"/>
    <x v="1"/>
    <x v="20"/>
    <x v="0"/>
    <n v="1747"/>
    <n v="5"/>
  </r>
  <r>
    <n v="43"/>
    <x v="39"/>
    <x v="3"/>
    <x v="26"/>
    <x v="4"/>
    <n v="1313"/>
    <n v="4"/>
  </r>
  <r>
    <n v="44"/>
    <x v="14"/>
    <x v="0"/>
    <x v="14"/>
    <x v="0"/>
    <n v="1260"/>
    <n v="4"/>
  </r>
  <r>
    <n v="45"/>
    <x v="40"/>
    <x v="5"/>
    <x v="11"/>
    <x v="3"/>
    <n v="1484"/>
    <n v="2"/>
  </r>
  <r>
    <n v="46"/>
    <x v="41"/>
    <x v="5"/>
    <x v="10"/>
    <x v="2"/>
    <n v="1887"/>
    <n v="5"/>
  </r>
  <r>
    <n v="47"/>
    <x v="28"/>
    <x v="2"/>
    <x v="27"/>
    <x v="0"/>
    <n v="1918"/>
    <n v="3"/>
  </r>
  <r>
    <n v="48"/>
    <x v="27"/>
    <x v="5"/>
    <x v="2"/>
    <x v="4"/>
    <n v="934"/>
    <n v="2"/>
  </r>
  <r>
    <n v="49"/>
    <x v="42"/>
    <x v="4"/>
    <x v="15"/>
    <x v="3"/>
    <n v="503"/>
    <n v="5"/>
  </r>
  <r>
    <n v="50"/>
    <x v="2"/>
    <x v="3"/>
    <x v="23"/>
    <x v="0"/>
    <n v="590"/>
    <n v="4"/>
  </r>
  <r>
    <n v="51"/>
    <x v="43"/>
    <x v="0"/>
    <x v="9"/>
    <x v="2"/>
    <n v="1297"/>
    <n v="1"/>
  </r>
  <r>
    <n v="52"/>
    <x v="7"/>
    <x v="3"/>
    <x v="28"/>
    <x v="3"/>
    <n v="67"/>
    <n v="2"/>
  </r>
  <r>
    <n v="53"/>
    <x v="44"/>
    <x v="0"/>
    <x v="29"/>
    <x v="0"/>
    <n v="1152"/>
    <n v="4"/>
  </r>
  <r>
    <n v="54"/>
    <x v="45"/>
    <x v="4"/>
    <x v="13"/>
    <x v="3"/>
    <n v="401"/>
    <n v="2"/>
  </r>
  <r>
    <n v="55"/>
    <x v="46"/>
    <x v="3"/>
    <x v="30"/>
    <x v="0"/>
    <n v="596"/>
    <n v="3"/>
  </r>
  <r>
    <n v="56"/>
    <x v="47"/>
    <x v="2"/>
    <x v="29"/>
    <x v="1"/>
    <n v="1724"/>
    <n v="4"/>
  </r>
  <r>
    <n v="57"/>
    <x v="48"/>
    <x v="5"/>
    <x v="8"/>
    <x v="1"/>
    <n v="721"/>
    <n v="3"/>
  </r>
  <r>
    <n v="58"/>
    <x v="49"/>
    <x v="1"/>
    <x v="0"/>
    <x v="2"/>
    <n v="939"/>
    <n v="3"/>
  </r>
  <r>
    <n v="59"/>
    <x v="50"/>
    <x v="3"/>
    <x v="5"/>
    <x v="4"/>
    <n v="443"/>
    <n v="5"/>
  </r>
  <r>
    <n v="60"/>
    <x v="51"/>
    <x v="1"/>
    <x v="30"/>
    <x v="4"/>
    <n v="986"/>
    <n v="5"/>
  </r>
  <r>
    <n v="61"/>
    <x v="52"/>
    <x v="4"/>
    <x v="11"/>
    <x v="3"/>
    <n v="90"/>
    <n v="1"/>
  </r>
  <r>
    <n v="62"/>
    <x v="24"/>
    <x v="0"/>
    <x v="23"/>
    <x v="3"/>
    <n v="32"/>
    <n v="5"/>
  </r>
  <r>
    <n v="63"/>
    <x v="53"/>
    <x v="0"/>
    <x v="12"/>
    <x v="4"/>
    <n v="968"/>
    <n v="1"/>
  </r>
  <r>
    <n v="64"/>
    <x v="54"/>
    <x v="2"/>
    <x v="19"/>
    <x v="2"/>
    <n v="772"/>
    <n v="2"/>
  </r>
  <r>
    <n v="65"/>
    <x v="55"/>
    <x v="5"/>
    <x v="18"/>
    <x v="1"/>
    <n v="1838"/>
    <n v="3"/>
  </r>
  <r>
    <n v="66"/>
    <x v="21"/>
    <x v="1"/>
    <x v="19"/>
    <x v="4"/>
    <n v="191"/>
    <n v="1"/>
  </r>
  <r>
    <n v="67"/>
    <x v="56"/>
    <x v="0"/>
    <x v="2"/>
    <x v="2"/>
    <n v="1334"/>
    <n v="1"/>
  </r>
  <r>
    <n v="68"/>
    <x v="57"/>
    <x v="3"/>
    <x v="24"/>
    <x v="1"/>
    <n v="1707"/>
    <n v="4"/>
  </r>
  <r>
    <n v="69"/>
    <x v="13"/>
    <x v="3"/>
    <x v="8"/>
    <x v="0"/>
    <n v="897"/>
    <n v="2"/>
  </r>
  <r>
    <n v="70"/>
    <x v="58"/>
    <x v="3"/>
    <x v="31"/>
    <x v="1"/>
    <n v="816"/>
    <n v="1"/>
  </r>
  <r>
    <n v="71"/>
    <x v="59"/>
    <x v="1"/>
    <x v="27"/>
    <x v="0"/>
    <n v="1049"/>
    <n v="3"/>
  </r>
  <r>
    <n v="72"/>
    <x v="60"/>
    <x v="3"/>
    <x v="32"/>
    <x v="0"/>
    <n v="1037"/>
    <n v="4"/>
  </r>
  <r>
    <n v="73"/>
    <x v="6"/>
    <x v="1"/>
    <x v="33"/>
    <x v="4"/>
    <n v="1235"/>
    <n v="3"/>
  </r>
  <r>
    <n v="74"/>
    <x v="17"/>
    <x v="4"/>
    <x v="34"/>
    <x v="3"/>
    <n v="294"/>
    <n v="3"/>
  </r>
  <r>
    <n v="75"/>
    <x v="61"/>
    <x v="5"/>
    <x v="35"/>
    <x v="4"/>
    <n v="785"/>
    <n v="4"/>
  </r>
  <r>
    <n v="76"/>
    <x v="25"/>
    <x v="1"/>
    <x v="21"/>
    <x v="3"/>
    <n v="568"/>
    <n v="4"/>
  </r>
  <r>
    <n v="77"/>
    <x v="62"/>
    <x v="1"/>
    <x v="24"/>
    <x v="2"/>
    <n v="1932"/>
    <n v="3"/>
  </r>
  <r>
    <n v="78"/>
    <x v="62"/>
    <x v="0"/>
    <x v="1"/>
    <x v="1"/>
    <n v="1124"/>
    <n v="4"/>
  </r>
  <r>
    <n v="79"/>
    <x v="63"/>
    <x v="3"/>
    <x v="19"/>
    <x v="3"/>
    <n v="920"/>
    <n v="1"/>
  </r>
  <r>
    <n v="80"/>
    <x v="64"/>
    <x v="0"/>
    <x v="13"/>
    <x v="2"/>
    <n v="44"/>
    <n v="1"/>
  </r>
  <r>
    <n v="81"/>
    <x v="16"/>
    <x v="0"/>
    <x v="0"/>
    <x v="2"/>
    <n v="1261"/>
    <n v="1"/>
  </r>
  <r>
    <n v="82"/>
    <x v="65"/>
    <x v="2"/>
    <x v="11"/>
    <x v="3"/>
    <n v="1283"/>
    <n v="4"/>
  </r>
  <r>
    <n v="83"/>
    <x v="46"/>
    <x v="5"/>
    <x v="36"/>
    <x v="1"/>
    <n v="311"/>
    <n v="2"/>
  </r>
  <r>
    <n v="84"/>
    <x v="35"/>
    <x v="3"/>
    <x v="37"/>
    <x v="1"/>
    <n v="1164"/>
    <n v="5"/>
  </r>
  <r>
    <n v="85"/>
    <x v="66"/>
    <x v="4"/>
    <x v="30"/>
    <x v="0"/>
    <n v="1129"/>
    <n v="3"/>
  </r>
  <r>
    <n v="86"/>
    <x v="67"/>
    <x v="0"/>
    <x v="14"/>
    <x v="0"/>
    <n v="1965"/>
    <n v="3"/>
  </r>
  <r>
    <n v="87"/>
    <x v="68"/>
    <x v="5"/>
    <x v="16"/>
    <x v="1"/>
    <n v="1812"/>
    <n v="3"/>
  </r>
  <r>
    <n v="88"/>
    <x v="44"/>
    <x v="3"/>
    <x v="11"/>
    <x v="3"/>
    <n v="1884"/>
    <n v="4"/>
  </r>
  <r>
    <n v="89"/>
    <x v="47"/>
    <x v="5"/>
    <x v="25"/>
    <x v="2"/>
    <n v="1812"/>
    <n v="4"/>
  </r>
  <r>
    <n v="90"/>
    <x v="69"/>
    <x v="5"/>
    <x v="13"/>
    <x v="2"/>
    <n v="76"/>
    <n v="3"/>
  </r>
  <r>
    <n v="91"/>
    <x v="70"/>
    <x v="4"/>
    <x v="38"/>
    <x v="2"/>
    <n v="1827"/>
    <n v="3"/>
  </r>
  <r>
    <n v="92"/>
    <x v="61"/>
    <x v="3"/>
    <x v="12"/>
    <x v="0"/>
    <n v="491"/>
    <n v="4"/>
  </r>
  <r>
    <n v="93"/>
    <x v="71"/>
    <x v="0"/>
    <x v="23"/>
    <x v="2"/>
    <n v="1965"/>
    <n v="4"/>
  </r>
  <r>
    <n v="94"/>
    <x v="54"/>
    <x v="2"/>
    <x v="27"/>
    <x v="2"/>
    <n v="862"/>
    <n v="5"/>
  </r>
  <r>
    <n v="95"/>
    <x v="72"/>
    <x v="1"/>
    <x v="16"/>
    <x v="4"/>
    <n v="403"/>
    <n v="3"/>
  </r>
  <r>
    <n v="96"/>
    <x v="73"/>
    <x v="3"/>
    <x v="0"/>
    <x v="0"/>
    <n v="217"/>
    <n v="1"/>
  </r>
  <r>
    <n v="97"/>
    <x v="66"/>
    <x v="4"/>
    <x v="30"/>
    <x v="3"/>
    <n v="1450"/>
    <n v="4"/>
  </r>
  <r>
    <n v="98"/>
    <x v="74"/>
    <x v="0"/>
    <x v="39"/>
    <x v="1"/>
    <n v="549"/>
    <n v="3"/>
  </r>
  <r>
    <n v="99"/>
    <x v="55"/>
    <x v="1"/>
    <x v="4"/>
    <x v="3"/>
    <n v="1829"/>
    <n v="5"/>
  </r>
  <r>
    <n v="100"/>
    <x v="75"/>
    <x v="5"/>
    <x v="1"/>
    <x v="1"/>
    <n v="411"/>
    <n v="1"/>
  </r>
  <r>
    <n v="101"/>
    <x v="76"/>
    <x v="2"/>
    <x v="28"/>
    <x v="4"/>
    <n v="146"/>
    <n v="1"/>
  </r>
  <r>
    <n v="102"/>
    <x v="13"/>
    <x v="4"/>
    <x v="25"/>
    <x v="0"/>
    <n v="1890"/>
    <n v="2"/>
  </r>
  <r>
    <n v="103"/>
    <x v="77"/>
    <x v="3"/>
    <x v="3"/>
    <x v="0"/>
    <n v="826"/>
    <n v="5"/>
  </r>
  <r>
    <n v="104"/>
    <x v="37"/>
    <x v="0"/>
    <x v="33"/>
    <x v="1"/>
    <n v="1693"/>
    <n v="1"/>
  </r>
  <r>
    <n v="105"/>
    <x v="78"/>
    <x v="1"/>
    <x v="29"/>
    <x v="0"/>
    <n v="1710"/>
    <n v="2"/>
  </r>
  <r>
    <n v="106"/>
    <x v="71"/>
    <x v="2"/>
    <x v="39"/>
    <x v="4"/>
    <n v="1921"/>
    <n v="5"/>
  </r>
  <r>
    <n v="107"/>
    <x v="79"/>
    <x v="2"/>
    <x v="3"/>
    <x v="1"/>
    <n v="1427"/>
    <n v="4"/>
  </r>
  <r>
    <n v="108"/>
    <x v="63"/>
    <x v="5"/>
    <x v="23"/>
    <x v="0"/>
    <n v="1205"/>
    <n v="5"/>
  </r>
  <r>
    <n v="109"/>
    <x v="69"/>
    <x v="1"/>
    <x v="29"/>
    <x v="4"/>
    <n v="1697"/>
    <n v="1"/>
  </r>
  <r>
    <n v="110"/>
    <x v="80"/>
    <x v="3"/>
    <x v="16"/>
    <x v="3"/>
    <n v="1576"/>
    <n v="5"/>
  </r>
  <r>
    <n v="111"/>
    <x v="42"/>
    <x v="5"/>
    <x v="8"/>
    <x v="2"/>
    <n v="1520"/>
    <n v="5"/>
  </r>
  <r>
    <n v="112"/>
    <x v="81"/>
    <x v="2"/>
    <x v="28"/>
    <x v="2"/>
    <n v="115"/>
    <n v="1"/>
  </r>
  <r>
    <n v="113"/>
    <x v="70"/>
    <x v="0"/>
    <x v="18"/>
    <x v="3"/>
    <n v="898"/>
    <n v="2"/>
  </r>
  <r>
    <n v="114"/>
    <x v="29"/>
    <x v="2"/>
    <x v="28"/>
    <x v="3"/>
    <n v="1505"/>
    <n v="2"/>
  </r>
  <r>
    <n v="115"/>
    <x v="74"/>
    <x v="5"/>
    <x v="7"/>
    <x v="2"/>
    <n v="977"/>
    <n v="5"/>
  </r>
  <r>
    <n v="116"/>
    <x v="82"/>
    <x v="1"/>
    <x v="38"/>
    <x v="2"/>
    <n v="724"/>
    <n v="1"/>
  </r>
  <r>
    <n v="117"/>
    <x v="6"/>
    <x v="0"/>
    <x v="1"/>
    <x v="1"/>
    <n v="760"/>
    <n v="5"/>
  </r>
  <r>
    <n v="118"/>
    <x v="83"/>
    <x v="1"/>
    <x v="13"/>
    <x v="4"/>
    <n v="403"/>
    <n v="4"/>
  </r>
  <r>
    <n v="119"/>
    <x v="84"/>
    <x v="0"/>
    <x v="25"/>
    <x v="2"/>
    <n v="805"/>
    <n v="1"/>
  </r>
  <r>
    <n v="120"/>
    <x v="58"/>
    <x v="0"/>
    <x v="9"/>
    <x v="4"/>
    <n v="1908"/>
    <n v="5"/>
  </r>
  <r>
    <n v="121"/>
    <x v="72"/>
    <x v="4"/>
    <x v="25"/>
    <x v="0"/>
    <n v="913"/>
    <n v="3"/>
  </r>
  <r>
    <n v="122"/>
    <x v="85"/>
    <x v="2"/>
    <x v="5"/>
    <x v="2"/>
    <n v="1977"/>
    <n v="2"/>
  </r>
  <r>
    <n v="123"/>
    <x v="86"/>
    <x v="3"/>
    <x v="8"/>
    <x v="1"/>
    <n v="1018"/>
    <n v="2"/>
  </r>
  <r>
    <n v="124"/>
    <x v="78"/>
    <x v="5"/>
    <x v="15"/>
    <x v="2"/>
    <n v="1658"/>
    <n v="2"/>
  </r>
  <r>
    <n v="125"/>
    <x v="75"/>
    <x v="2"/>
    <x v="29"/>
    <x v="4"/>
    <n v="833"/>
    <n v="5"/>
  </r>
  <r>
    <n v="126"/>
    <x v="87"/>
    <x v="2"/>
    <x v="20"/>
    <x v="0"/>
    <n v="718"/>
    <n v="5"/>
  </r>
  <r>
    <n v="127"/>
    <x v="88"/>
    <x v="2"/>
    <x v="2"/>
    <x v="0"/>
    <n v="515"/>
    <n v="3"/>
  </r>
  <r>
    <n v="128"/>
    <x v="62"/>
    <x v="4"/>
    <x v="23"/>
    <x v="4"/>
    <n v="259"/>
    <n v="3"/>
  </r>
  <r>
    <n v="129"/>
    <x v="89"/>
    <x v="2"/>
    <x v="29"/>
    <x v="2"/>
    <n v="660"/>
    <n v="4"/>
  </r>
  <r>
    <n v="130"/>
    <x v="90"/>
    <x v="3"/>
    <x v="34"/>
    <x v="3"/>
    <n v="31"/>
    <n v="2"/>
  </r>
  <r>
    <n v="131"/>
    <x v="91"/>
    <x v="1"/>
    <x v="15"/>
    <x v="4"/>
    <n v="1889"/>
    <n v="4"/>
  </r>
  <r>
    <n v="132"/>
    <x v="31"/>
    <x v="2"/>
    <x v="36"/>
    <x v="3"/>
    <n v="1163"/>
    <n v="1"/>
  </r>
  <r>
    <n v="133"/>
    <x v="27"/>
    <x v="5"/>
    <x v="8"/>
    <x v="0"/>
    <n v="1896"/>
    <n v="1"/>
  </r>
  <r>
    <n v="134"/>
    <x v="80"/>
    <x v="1"/>
    <x v="23"/>
    <x v="2"/>
    <n v="175"/>
    <n v="1"/>
  </r>
  <r>
    <n v="135"/>
    <x v="2"/>
    <x v="2"/>
    <x v="34"/>
    <x v="1"/>
    <n v="806"/>
    <n v="5"/>
  </r>
  <r>
    <n v="136"/>
    <x v="92"/>
    <x v="3"/>
    <x v="32"/>
    <x v="2"/>
    <n v="992"/>
    <n v="3"/>
  </r>
  <r>
    <n v="137"/>
    <x v="93"/>
    <x v="4"/>
    <x v="16"/>
    <x v="3"/>
    <n v="885"/>
    <n v="2"/>
  </r>
  <r>
    <n v="138"/>
    <x v="44"/>
    <x v="1"/>
    <x v="40"/>
    <x v="1"/>
    <n v="502"/>
    <n v="2"/>
  </r>
  <r>
    <n v="139"/>
    <x v="47"/>
    <x v="0"/>
    <x v="25"/>
    <x v="4"/>
    <n v="71"/>
    <n v="3"/>
  </r>
  <r>
    <n v="140"/>
    <x v="73"/>
    <x v="4"/>
    <x v="19"/>
    <x v="0"/>
    <n v="411"/>
    <n v="4"/>
  </r>
  <r>
    <n v="141"/>
    <x v="94"/>
    <x v="1"/>
    <x v="6"/>
    <x v="0"/>
    <n v="1343"/>
    <n v="2"/>
  </r>
  <r>
    <n v="142"/>
    <x v="95"/>
    <x v="1"/>
    <x v="31"/>
    <x v="0"/>
    <n v="1052"/>
    <n v="4"/>
  </r>
  <r>
    <n v="143"/>
    <x v="96"/>
    <x v="0"/>
    <x v="20"/>
    <x v="1"/>
    <n v="993"/>
    <n v="4"/>
  </r>
  <r>
    <n v="144"/>
    <x v="21"/>
    <x v="2"/>
    <x v="16"/>
    <x v="3"/>
    <n v="1404"/>
    <n v="3"/>
  </r>
  <r>
    <n v="145"/>
    <x v="70"/>
    <x v="4"/>
    <x v="36"/>
    <x v="1"/>
    <n v="436"/>
    <n v="1"/>
  </r>
  <r>
    <n v="146"/>
    <x v="5"/>
    <x v="4"/>
    <x v="7"/>
    <x v="3"/>
    <n v="771"/>
    <n v="2"/>
  </r>
  <r>
    <n v="147"/>
    <x v="60"/>
    <x v="5"/>
    <x v="33"/>
    <x v="0"/>
    <n v="503"/>
    <n v="5"/>
  </r>
  <r>
    <n v="148"/>
    <x v="97"/>
    <x v="1"/>
    <x v="11"/>
    <x v="1"/>
    <n v="1906"/>
    <n v="1"/>
  </r>
  <r>
    <n v="149"/>
    <x v="41"/>
    <x v="4"/>
    <x v="18"/>
    <x v="1"/>
    <n v="1213"/>
    <n v="3"/>
  </r>
  <r>
    <n v="150"/>
    <x v="44"/>
    <x v="2"/>
    <x v="9"/>
    <x v="0"/>
    <n v="1215"/>
    <n v="2"/>
  </r>
  <r>
    <n v="151"/>
    <x v="92"/>
    <x v="1"/>
    <x v="16"/>
    <x v="2"/>
    <n v="1186"/>
    <n v="1"/>
  </r>
  <r>
    <n v="152"/>
    <x v="82"/>
    <x v="0"/>
    <x v="26"/>
    <x v="1"/>
    <n v="1616"/>
    <n v="2"/>
  </r>
  <r>
    <n v="153"/>
    <x v="18"/>
    <x v="1"/>
    <x v="19"/>
    <x v="3"/>
    <n v="1614"/>
    <n v="3"/>
  </r>
  <r>
    <n v="154"/>
    <x v="98"/>
    <x v="5"/>
    <x v="14"/>
    <x v="1"/>
    <n v="744"/>
    <n v="5"/>
  </r>
  <r>
    <n v="155"/>
    <x v="60"/>
    <x v="1"/>
    <x v="35"/>
    <x v="2"/>
    <n v="1277"/>
    <n v="1"/>
  </r>
  <r>
    <n v="156"/>
    <x v="22"/>
    <x v="5"/>
    <x v="26"/>
    <x v="3"/>
    <n v="1520"/>
    <n v="3"/>
  </r>
  <r>
    <n v="157"/>
    <x v="99"/>
    <x v="1"/>
    <x v="12"/>
    <x v="3"/>
    <n v="254"/>
    <n v="2"/>
  </r>
  <r>
    <n v="158"/>
    <x v="100"/>
    <x v="0"/>
    <x v="25"/>
    <x v="4"/>
    <n v="253"/>
    <n v="3"/>
  </r>
  <r>
    <n v="159"/>
    <x v="90"/>
    <x v="3"/>
    <x v="1"/>
    <x v="4"/>
    <n v="1802"/>
    <n v="3"/>
  </r>
  <r>
    <n v="160"/>
    <x v="74"/>
    <x v="4"/>
    <x v="5"/>
    <x v="0"/>
    <n v="580"/>
    <n v="5"/>
  </r>
  <r>
    <n v="161"/>
    <x v="75"/>
    <x v="0"/>
    <x v="33"/>
    <x v="3"/>
    <n v="938"/>
    <n v="5"/>
  </r>
  <r>
    <n v="162"/>
    <x v="101"/>
    <x v="5"/>
    <x v="0"/>
    <x v="1"/>
    <n v="1390"/>
    <n v="4"/>
  </r>
  <r>
    <n v="163"/>
    <x v="102"/>
    <x v="2"/>
    <x v="30"/>
    <x v="1"/>
    <n v="1315"/>
    <n v="2"/>
  </r>
  <r>
    <n v="164"/>
    <x v="92"/>
    <x v="5"/>
    <x v="14"/>
    <x v="0"/>
    <n v="1670"/>
    <n v="3"/>
  </r>
  <r>
    <n v="165"/>
    <x v="103"/>
    <x v="5"/>
    <x v="35"/>
    <x v="3"/>
    <n v="1691"/>
    <n v="3"/>
  </r>
  <r>
    <n v="166"/>
    <x v="5"/>
    <x v="0"/>
    <x v="8"/>
    <x v="1"/>
    <n v="1313"/>
    <n v="3"/>
  </r>
  <r>
    <n v="167"/>
    <x v="104"/>
    <x v="3"/>
    <x v="33"/>
    <x v="1"/>
    <n v="789"/>
    <n v="4"/>
  </r>
  <r>
    <n v="168"/>
    <x v="56"/>
    <x v="5"/>
    <x v="31"/>
    <x v="0"/>
    <n v="135"/>
    <n v="5"/>
  </r>
  <r>
    <n v="169"/>
    <x v="105"/>
    <x v="1"/>
    <x v="37"/>
    <x v="2"/>
    <n v="1583"/>
    <n v="5"/>
  </r>
  <r>
    <n v="170"/>
    <x v="106"/>
    <x v="4"/>
    <x v="35"/>
    <x v="2"/>
    <n v="1857"/>
    <n v="1"/>
  </r>
  <r>
    <n v="171"/>
    <x v="5"/>
    <x v="0"/>
    <x v="7"/>
    <x v="1"/>
    <n v="1655"/>
    <n v="3"/>
  </r>
  <r>
    <n v="172"/>
    <x v="12"/>
    <x v="5"/>
    <x v="16"/>
    <x v="3"/>
    <n v="727"/>
    <n v="3"/>
  </r>
  <r>
    <n v="173"/>
    <x v="107"/>
    <x v="5"/>
    <x v="21"/>
    <x v="3"/>
    <n v="1637"/>
    <n v="3"/>
  </r>
  <r>
    <n v="174"/>
    <x v="47"/>
    <x v="4"/>
    <x v="0"/>
    <x v="1"/>
    <n v="456"/>
    <n v="5"/>
  </r>
  <r>
    <n v="175"/>
    <x v="108"/>
    <x v="4"/>
    <x v="12"/>
    <x v="3"/>
    <n v="1109"/>
    <n v="5"/>
  </r>
  <r>
    <n v="176"/>
    <x v="70"/>
    <x v="3"/>
    <x v="29"/>
    <x v="3"/>
    <n v="1593"/>
    <n v="4"/>
  </r>
  <r>
    <n v="177"/>
    <x v="26"/>
    <x v="5"/>
    <x v="17"/>
    <x v="3"/>
    <n v="686"/>
    <n v="1"/>
  </r>
  <r>
    <n v="178"/>
    <x v="102"/>
    <x v="2"/>
    <x v="9"/>
    <x v="0"/>
    <n v="155"/>
    <n v="4"/>
  </r>
  <r>
    <n v="179"/>
    <x v="109"/>
    <x v="1"/>
    <x v="37"/>
    <x v="2"/>
    <n v="686"/>
    <n v="2"/>
  </r>
  <r>
    <n v="180"/>
    <x v="66"/>
    <x v="1"/>
    <x v="10"/>
    <x v="2"/>
    <n v="450"/>
    <n v="1"/>
  </r>
  <r>
    <n v="181"/>
    <x v="49"/>
    <x v="0"/>
    <x v="24"/>
    <x v="3"/>
    <n v="478"/>
    <n v="4"/>
  </r>
  <r>
    <n v="182"/>
    <x v="110"/>
    <x v="2"/>
    <x v="6"/>
    <x v="3"/>
    <n v="939"/>
    <n v="5"/>
  </r>
  <r>
    <n v="183"/>
    <x v="77"/>
    <x v="5"/>
    <x v="30"/>
    <x v="2"/>
    <n v="1608"/>
    <n v="2"/>
  </r>
  <r>
    <n v="184"/>
    <x v="73"/>
    <x v="2"/>
    <x v="35"/>
    <x v="0"/>
    <n v="1791"/>
    <n v="2"/>
  </r>
  <r>
    <n v="185"/>
    <x v="111"/>
    <x v="4"/>
    <x v="5"/>
    <x v="3"/>
    <n v="371"/>
    <n v="2"/>
  </r>
  <r>
    <n v="186"/>
    <x v="112"/>
    <x v="3"/>
    <x v="30"/>
    <x v="3"/>
    <n v="1407"/>
    <n v="1"/>
  </r>
  <r>
    <n v="187"/>
    <x v="22"/>
    <x v="5"/>
    <x v="5"/>
    <x v="0"/>
    <n v="1909"/>
    <n v="4"/>
  </r>
  <r>
    <n v="188"/>
    <x v="89"/>
    <x v="4"/>
    <x v="32"/>
    <x v="4"/>
    <n v="1715"/>
    <n v="2"/>
  </r>
  <r>
    <n v="189"/>
    <x v="67"/>
    <x v="5"/>
    <x v="27"/>
    <x v="3"/>
    <n v="1145"/>
    <n v="2"/>
  </r>
  <r>
    <n v="190"/>
    <x v="113"/>
    <x v="5"/>
    <x v="10"/>
    <x v="3"/>
    <n v="925"/>
    <n v="3"/>
  </r>
  <r>
    <n v="191"/>
    <x v="114"/>
    <x v="3"/>
    <x v="2"/>
    <x v="0"/>
    <n v="547"/>
    <n v="5"/>
  </r>
  <r>
    <n v="192"/>
    <x v="115"/>
    <x v="1"/>
    <x v="28"/>
    <x v="4"/>
    <n v="1961"/>
    <n v="5"/>
  </r>
  <r>
    <n v="193"/>
    <x v="18"/>
    <x v="5"/>
    <x v="7"/>
    <x v="2"/>
    <n v="184"/>
    <n v="5"/>
  </r>
  <r>
    <n v="194"/>
    <x v="55"/>
    <x v="5"/>
    <x v="26"/>
    <x v="0"/>
    <n v="163"/>
    <n v="1"/>
  </r>
  <r>
    <n v="195"/>
    <x v="52"/>
    <x v="3"/>
    <x v="38"/>
    <x v="2"/>
    <n v="484"/>
    <n v="4"/>
  </r>
  <r>
    <n v="196"/>
    <x v="116"/>
    <x v="3"/>
    <x v="39"/>
    <x v="3"/>
    <n v="792"/>
    <n v="2"/>
  </r>
  <r>
    <n v="197"/>
    <x v="67"/>
    <x v="0"/>
    <x v="14"/>
    <x v="2"/>
    <n v="24"/>
    <n v="5"/>
  </r>
  <r>
    <n v="198"/>
    <x v="117"/>
    <x v="5"/>
    <x v="2"/>
    <x v="2"/>
    <n v="705"/>
    <n v="3"/>
  </r>
  <r>
    <n v="199"/>
    <x v="118"/>
    <x v="4"/>
    <x v="19"/>
    <x v="0"/>
    <n v="1288"/>
    <n v="1"/>
  </r>
  <r>
    <n v="200"/>
    <x v="119"/>
    <x v="1"/>
    <x v="11"/>
    <x v="4"/>
    <n v="956"/>
    <n v="2"/>
  </r>
  <r>
    <n v="201"/>
    <x v="92"/>
    <x v="2"/>
    <x v="15"/>
    <x v="2"/>
    <n v="1770"/>
    <n v="4"/>
  </r>
  <r>
    <n v="202"/>
    <x v="44"/>
    <x v="3"/>
    <x v="14"/>
    <x v="3"/>
    <n v="1449"/>
    <n v="4"/>
  </r>
  <r>
    <n v="203"/>
    <x v="120"/>
    <x v="0"/>
    <x v="16"/>
    <x v="4"/>
    <n v="1300"/>
    <n v="1"/>
  </r>
  <r>
    <n v="204"/>
    <x v="7"/>
    <x v="0"/>
    <x v="4"/>
    <x v="2"/>
    <n v="1909"/>
    <n v="1"/>
  </r>
  <r>
    <n v="205"/>
    <x v="56"/>
    <x v="3"/>
    <x v="14"/>
    <x v="2"/>
    <n v="1006"/>
    <n v="3"/>
  </r>
  <r>
    <n v="206"/>
    <x v="54"/>
    <x v="1"/>
    <x v="22"/>
    <x v="3"/>
    <n v="715"/>
    <n v="3"/>
  </r>
  <r>
    <n v="207"/>
    <x v="46"/>
    <x v="2"/>
    <x v="18"/>
    <x v="3"/>
    <n v="296"/>
    <n v="2"/>
  </r>
  <r>
    <n v="208"/>
    <x v="59"/>
    <x v="0"/>
    <x v="8"/>
    <x v="4"/>
    <n v="1079"/>
    <n v="2"/>
  </r>
  <r>
    <n v="209"/>
    <x v="30"/>
    <x v="2"/>
    <x v="38"/>
    <x v="4"/>
    <n v="222"/>
    <n v="5"/>
  </r>
  <r>
    <n v="210"/>
    <x v="71"/>
    <x v="0"/>
    <x v="12"/>
    <x v="4"/>
    <n v="1433"/>
    <n v="5"/>
  </r>
  <r>
    <n v="211"/>
    <x v="121"/>
    <x v="3"/>
    <x v="20"/>
    <x v="0"/>
    <n v="1052"/>
    <n v="3"/>
  </r>
  <r>
    <n v="212"/>
    <x v="122"/>
    <x v="0"/>
    <x v="4"/>
    <x v="3"/>
    <n v="1917"/>
    <n v="3"/>
  </r>
  <r>
    <n v="213"/>
    <x v="123"/>
    <x v="4"/>
    <x v="28"/>
    <x v="1"/>
    <n v="1973"/>
    <n v="1"/>
  </r>
  <r>
    <n v="214"/>
    <x v="8"/>
    <x v="4"/>
    <x v="31"/>
    <x v="0"/>
    <n v="10"/>
    <n v="1"/>
  </r>
  <r>
    <n v="215"/>
    <x v="43"/>
    <x v="4"/>
    <x v="7"/>
    <x v="2"/>
    <n v="328"/>
    <n v="1"/>
  </r>
  <r>
    <n v="216"/>
    <x v="43"/>
    <x v="5"/>
    <x v="14"/>
    <x v="0"/>
    <n v="1425"/>
    <n v="4"/>
  </r>
  <r>
    <n v="217"/>
    <x v="81"/>
    <x v="1"/>
    <x v="32"/>
    <x v="1"/>
    <n v="833"/>
    <n v="2"/>
  </r>
  <r>
    <n v="218"/>
    <x v="73"/>
    <x v="4"/>
    <x v="25"/>
    <x v="0"/>
    <n v="1656"/>
    <n v="5"/>
  </r>
  <r>
    <n v="219"/>
    <x v="95"/>
    <x v="2"/>
    <x v="28"/>
    <x v="4"/>
    <n v="1792"/>
    <n v="4"/>
  </r>
  <r>
    <n v="220"/>
    <x v="12"/>
    <x v="3"/>
    <x v="30"/>
    <x v="4"/>
    <n v="454"/>
    <n v="1"/>
  </r>
  <r>
    <n v="221"/>
    <x v="78"/>
    <x v="2"/>
    <x v="14"/>
    <x v="1"/>
    <n v="1337"/>
    <n v="2"/>
  </r>
  <r>
    <n v="222"/>
    <x v="124"/>
    <x v="3"/>
    <x v="32"/>
    <x v="2"/>
    <n v="986"/>
    <n v="4"/>
  </r>
  <r>
    <n v="223"/>
    <x v="111"/>
    <x v="1"/>
    <x v="35"/>
    <x v="0"/>
    <n v="348"/>
    <n v="2"/>
  </r>
  <r>
    <n v="224"/>
    <x v="125"/>
    <x v="4"/>
    <x v="22"/>
    <x v="3"/>
    <n v="582"/>
    <n v="3"/>
  </r>
  <r>
    <n v="225"/>
    <x v="57"/>
    <x v="3"/>
    <x v="10"/>
    <x v="2"/>
    <n v="634"/>
    <n v="2"/>
  </r>
  <r>
    <n v="226"/>
    <x v="68"/>
    <x v="2"/>
    <x v="6"/>
    <x v="3"/>
    <n v="282"/>
    <n v="3"/>
  </r>
  <r>
    <n v="227"/>
    <x v="86"/>
    <x v="1"/>
    <x v="4"/>
    <x v="2"/>
    <n v="481"/>
    <n v="4"/>
  </r>
  <r>
    <n v="228"/>
    <x v="97"/>
    <x v="2"/>
    <x v="17"/>
    <x v="4"/>
    <n v="1441"/>
    <n v="5"/>
  </r>
  <r>
    <n v="229"/>
    <x v="49"/>
    <x v="1"/>
    <x v="14"/>
    <x v="4"/>
    <n v="808"/>
    <n v="4"/>
  </r>
  <r>
    <n v="230"/>
    <x v="99"/>
    <x v="1"/>
    <x v="15"/>
    <x v="1"/>
    <n v="1874"/>
    <n v="5"/>
  </r>
  <r>
    <n v="231"/>
    <x v="39"/>
    <x v="4"/>
    <x v="10"/>
    <x v="0"/>
    <n v="965"/>
    <n v="1"/>
  </r>
  <r>
    <n v="232"/>
    <x v="50"/>
    <x v="4"/>
    <x v="3"/>
    <x v="3"/>
    <n v="93"/>
    <n v="1"/>
  </r>
  <r>
    <n v="233"/>
    <x v="65"/>
    <x v="2"/>
    <x v="22"/>
    <x v="4"/>
    <n v="1774"/>
    <n v="3"/>
  </r>
  <r>
    <n v="234"/>
    <x v="90"/>
    <x v="4"/>
    <x v="24"/>
    <x v="2"/>
    <n v="217"/>
    <n v="5"/>
  </r>
  <r>
    <n v="235"/>
    <x v="29"/>
    <x v="3"/>
    <x v="5"/>
    <x v="3"/>
    <n v="737"/>
    <n v="3"/>
  </r>
  <r>
    <n v="236"/>
    <x v="126"/>
    <x v="4"/>
    <x v="16"/>
    <x v="2"/>
    <n v="1154"/>
    <n v="1"/>
  </r>
  <r>
    <n v="237"/>
    <x v="117"/>
    <x v="3"/>
    <x v="40"/>
    <x v="1"/>
    <n v="891"/>
    <n v="3"/>
  </r>
  <r>
    <n v="238"/>
    <x v="8"/>
    <x v="0"/>
    <x v="0"/>
    <x v="0"/>
    <n v="1130"/>
    <n v="2"/>
  </r>
  <r>
    <n v="239"/>
    <x v="92"/>
    <x v="2"/>
    <x v="22"/>
    <x v="1"/>
    <n v="317"/>
    <n v="4"/>
  </r>
  <r>
    <n v="240"/>
    <x v="91"/>
    <x v="2"/>
    <x v="0"/>
    <x v="2"/>
    <n v="1663"/>
    <n v="5"/>
  </r>
  <r>
    <n v="241"/>
    <x v="23"/>
    <x v="5"/>
    <x v="5"/>
    <x v="4"/>
    <n v="107"/>
    <n v="1"/>
  </r>
  <r>
    <n v="242"/>
    <x v="90"/>
    <x v="5"/>
    <x v="34"/>
    <x v="4"/>
    <n v="1430"/>
    <n v="2"/>
  </r>
  <r>
    <n v="243"/>
    <x v="127"/>
    <x v="3"/>
    <x v="33"/>
    <x v="0"/>
    <n v="298"/>
    <n v="1"/>
  </r>
  <r>
    <n v="244"/>
    <x v="113"/>
    <x v="2"/>
    <x v="30"/>
    <x v="4"/>
    <n v="1557"/>
    <n v="3"/>
  </r>
  <r>
    <n v="245"/>
    <x v="126"/>
    <x v="0"/>
    <x v="13"/>
    <x v="4"/>
    <n v="477"/>
    <n v="3"/>
  </r>
  <r>
    <n v="246"/>
    <x v="76"/>
    <x v="3"/>
    <x v="0"/>
    <x v="3"/>
    <n v="1593"/>
    <n v="3"/>
  </r>
  <r>
    <n v="247"/>
    <x v="125"/>
    <x v="4"/>
    <x v="2"/>
    <x v="2"/>
    <n v="534"/>
    <n v="5"/>
  </r>
  <r>
    <n v="248"/>
    <x v="21"/>
    <x v="0"/>
    <x v="17"/>
    <x v="2"/>
    <n v="1615"/>
    <n v="5"/>
  </r>
  <r>
    <n v="249"/>
    <x v="115"/>
    <x v="4"/>
    <x v="4"/>
    <x v="2"/>
    <n v="416"/>
    <n v="3"/>
  </r>
  <r>
    <n v="250"/>
    <x v="115"/>
    <x v="3"/>
    <x v="15"/>
    <x v="4"/>
    <n v="201"/>
    <n v="4"/>
  </r>
  <r>
    <n v="251"/>
    <x v="103"/>
    <x v="5"/>
    <x v="33"/>
    <x v="4"/>
    <n v="95"/>
    <n v="3"/>
  </r>
  <r>
    <n v="252"/>
    <x v="128"/>
    <x v="4"/>
    <x v="20"/>
    <x v="1"/>
    <n v="1762"/>
    <n v="3"/>
  </r>
  <r>
    <n v="253"/>
    <x v="129"/>
    <x v="5"/>
    <x v="37"/>
    <x v="1"/>
    <n v="222"/>
    <n v="4"/>
  </r>
  <r>
    <n v="254"/>
    <x v="130"/>
    <x v="3"/>
    <x v="37"/>
    <x v="2"/>
    <n v="1701"/>
    <n v="3"/>
  </r>
  <r>
    <n v="255"/>
    <x v="120"/>
    <x v="3"/>
    <x v="11"/>
    <x v="3"/>
    <n v="1517"/>
    <n v="1"/>
  </r>
  <r>
    <n v="256"/>
    <x v="131"/>
    <x v="4"/>
    <x v="21"/>
    <x v="0"/>
    <n v="1596"/>
    <n v="1"/>
  </r>
  <r>
    <n v="257"/>
    <x v="132"/>
    <x v="5"/>
    <x v="38"/>
    <x v="4"/>
    <n v="1048"/>
    <n v="5"/>
  </r>
  <r>
    <n v="258"/>
    <x v="1"/>
    <x v="2"/>
    <x v="27"/>
    <x v="1"/>
    <n v="173"/>
    <n v="5"/>
  </r>
  <r>
    <n v="259"/>
    <x v="80"/>
    <x v="1"/>
    <x v="32"/>
    <x v="1"/>
    <n v="1960"/>
    <n v="4"/>
  </r>
  <r>
    <n v="260"/>
    <x v="133"/>
    <x v="5"/>
    <x v="5"/>
    <x v="0"/>
    <n v="910"/>
    <n v="2"/>
  </r>
  <r>
    <n v="261"/>
    <x v="29"/>
    <x v="4"/>
    <x v="13"/>
    <x v="4"/>
    <n v="830"/>
    <n v="5"/>
  </r>
  <r>
    <n v="262"/>
    <x v="16"/>
    <x v="5"/>
    <x v="25"/>
    <x v="2"/>
    <n v="1006"/>
    <n v="2"/>
  </r>
  <r>
    <n v="263"/>
    <x v="112"/>
    <x v="5"/>
    <x v="33"/>
    <x v="3"/>
    <n v="268"/>
    <n v="4"/>
  </r>
  <r>
    <n v="264"/>
    <x v="66"/>
    <x v="4"/>
    <x v="32"/>
    <x v="3"/>
    <n v="1160"/>
    <n v="5"/>
  </r>
  <r>
    <n v="265"/>
    <x v="17"/>
    <x v="3"/>
    <x v="13"/>
    <x v="3"/>
    <n v="1000"/>
    <n v="1"/>
  </r>
  <r>
    <n v="266"/>
    <x v="61"/>
    <x v="1"/>
    <x v="39"/>
    <x v="0"/>
    <n v="1733"/>
    <n v="5"/>
  </r>
  <r>
    <n v="267"/>
    <x v="104"/>
    <x v="5"/>
    <x v="14"/>
    <x v="0"/>
    <n v="892"/>
    <n v="4"/>
  </r>
  <r>
    <n v="268"/>
    <x v="75"/>
    <x v="3"/>
    <x v="26"/>
    <x v="4"/>
    <n v="425"/>
    <n v="2"/>
  </r>
  <r>
    <n v="269"/>
    <x v="114"/>
    <x v="3"/>
    <x v="11"/>
    <x v="4"/>
    <n v="262"/>
    <n v="3"/>
  </r>
  <r>
    <n v="270"/>
    <x v="11"/>
    <x v="4"/>
    <x v="3"/>
    <x v="4"/>
    <n v="1475"/>
    <n v="3"/>
  </r>
  <r>
    <n v="271"/>
    <x v="94"/>
    <x v="2"/>
    <x v="27"/>
    <x v="4"/>
    <n v="1483"/>
    <n v="2"/>
  </r>
  <r>
    <n v="272"/>
    <x v="134"/>
    <x v="1"/>
    <x v="8"/>
    <x v="0"/>
    <n v="1255"/>
    <n v="5"/>
  </r>
  <r>
    <n v="273"/>
    <x v="67"/>
    <x v="1"/>
    <x v="14"/>
    <x v="4"/>
    <n v="1687"/>
    <n v="2"/>
  </r>
  <r>
    <n v="274"/>
    <x v="67"/>
    <x v="5"/>
    <x v="20"/>
    <x v="2"/>
    <n v="792"/>
    <n v="5"/>
  </r>
  <r>
    <n v="275"/>
    <x v="104"/>
    <x v="5"/>
    <x v="38"/>
    <x v="3"/>
    <n v="1284"/>
    <n v="2"/>
  </r>
  <r>
    <n v="276"/>
    <x v="135"/>
    <x v="5"/>
    <x v="29"/>
    <x v="1"/>
    <n v="1007"/>
    <n v="3"/>
  </r>
  <r>
    <n v="277"/>
    <x v="75"/>
    <x v="4"/>
    <x v="39"/>
    <x v="4"/>
    <n v="1313"/>
    <n v="3"/>
  </r>
  <r>
    <n v="278"/>
    <x v="113"/>
    <x v="4"/>
    <x v="30"/>
    <x v="2"/>
    <n v="535"/>
    <n v="4"/>
  </r>
  <r>
    <n v="279"/>
    <x v="66"/>
    <x v="4"/>
    <x v="29"/>
    <x v="4"/>
    <n v="930"/>
    <n v="5"/>
  </r>
  <r>
    <n v="280"/>
    <x v="87"/>
    <x v="0"/>
    <x v="35"/>
    <x v="1"/>
    <n v="1008"/>
    <n v="3"/>
  </r>
  <r>
    <n v="281"/>
    <x v="99"/>
    <x v="2"/>
    <x v="40"/>
    <x v="4"/>
    <n v="840"/>
    <n v="1"/>
  </r>
  <r>
    <n v="282"/>
    <x v="24"/>
    <x v="3"/>
    <x v="9"/>
    <x v="4"/>
    <n v="58"/>
    <n v="5"/>
  </r>
  <r>
    <n v="283"/>
    <x v="66"/>
    <x v="0"/>
    <x v="18"/>
    <x v="0"/>
    <n v="652"/>
    <n v="5"/>
  </r>
  <r>
    <n v="284"/>
    <x v="131"/>
    <x v="1"/>
    <x v="24"/>
    <x v="4"/>
    <n v="834"/>
    <n v="2"/>
  </r>
  <r>
    <n v="285"/>
    <x v="136"/>
    <x v="3"/>
    <x v="31"/>
    <x v="0"/>
    <n v="1394"/>
    <n v="5"/>
  </r>
  <r>
    <n v="286"/>
    <x v="19"/>
    <x v="3"/>
    <x v="32"/>
    <x v="1"/>
    <n v="1809"/>
    <n v="2"/>
  </r>
  <r>
    <n v="287"/>
    <x v="132"/>
    <x v="2"/>
    <x v="38"/>
    <x v="1"/>
    <n v="1381"/>
    <n v="3"/>
  </r>
  <r>
    <n v="288"/>
    <x v="107"/>
    <x v="5"/>
    <x v="4"/>
    <x v="4"/>
    <n v="742"/>
    <n v="1"/>
  </r>
  <r>
    <n v="289"/>
    <x v="137"/>
    <x v="4"/>
    <x v="33"/>
    <x v="2"/>
    <n v="12"/>
    <n v="4"/>
  </r>
  <r>
    <n v="290"/>
    <x v="113"/>
    <x v="0"/>
    <x v="2"/>
    <x v="0"/>
    <n v="118"/>
    <n v="5"/>
  </r>
  <r>
    <n v="291"/>
    <x v="5"/>
    <x v="3"/>
    <x v="21"/>
    <x v="1"/>
    <n v="2000"/>
    <n v="4"/>
  </r>
  <r>
    <n v="292"/>
    <x v="54"/>
    <x v="2"/>
    <x v="31"/>
    <x v="4"/>
    <n v="1963"/>
    <n v="4"/>
  </r>
  <r>
    <n v="293"/>
    <x v="2"/>
    <x v="1"/>
    <x v="14"/>
    <x v="1"/>
    <n v="1583"/>
    <n v="4"/>
  </r>
  <r>
    <n v="294"/>
    <x v="123"/>
    <x v="0"/>
    <x v="2"/>
    <x v="2"/>
    <n v="1103"/>
    <n v="1"/>
  </r>
  <r>
    <n v="295"/>
    <x v="138"/>
    <x v="2"/>
    <x v="19"/>
    <x v="0"/>
    <n v="837"/>
    <n v="3"/>
  </r>
  <r>
    <n v="296"/>
    <x v="100"/>
    <x v="0"/>
    <x v="30"/>
    <x v="0"/>
    <n v="6"/>
    <n v="2"/>
  </r>
  <r>
    <n v="297"/>
    <x v="139"/>
    <x v="5"/>
    <x v="10"/>
    <x v="4"/>
    <n v="94"/>
    <n v="5"/>
  </r>
  <r>
    <n v="298"/>
    <x v="140"/>
    <x v="4"/>
    <x v="37"/>
    <x v="3"/>
    <n v="1206"/>
    <n v="1"/>
  </r>
  <r>
    <n v="299"/>
    <x v="62"/>
    <x v="5"/>
    <x v="30"/>
    <x v="4"/>
    <n v="1266"/>
    <n v="4"/>
  </r>
  <r>
    <n v="300"/>
    <x v="108"/>
    <x v="1"/>
    <x v="12"/>
    <x v="2"/>
    <n v="707"/>
    <n v="5"/>
  </r>
  <r>
    <n v="301"/>
    <x v="116"/>
    <x v="0"/>
    <x v="19"/>
    <x v="0"/>
    <n v="42"/>
    <n v="2"/>
  </r>
  <r>
    <n v="302"/>
    <x v="15"/>
    <x v="1"/>
    <x v="2"/>
    <x v="0"/>
    <n v="1560"/>
    <n v="5"/>
  </r>
  <r>
    <n v="303"/>
    <x v="141"/>
    <x v="4"/>
    <x v="36"/>
    <x v="2"/>
    <n v="1996"/>
    <n v="2"/>
  </r>
  <r>
    <n v="304"/>
    <x v="142"/>
    <x v="3"/>
    <x v="4"/>
    <x v="1"/>
    <n v="884"/>
    <n v="4"/>
  </r>
  <r>
    <n v="305"/>
    <x v="10"/>
    <x v="3"/>
    <x v="6"/>
    <x v="0"/>
    <n v="534"/>
    <n v="4"/>
  </r>
  <r>
    <n v="306"/>
    <x v="19"/>
    <x v="1"/>
    <x v="26"/>
    <x v="4"/>
    <n v="1370"/>
    <n v="2"/>
  </r>
  <r>
    <n v="307"/>
    <x v="51"/>
    <x v="1"/>
    <x v="8"/>
    <x v="0"/>
    <n v="331"/>
    <n v="4"/>
  </r>
  <r>
    <n v="308"/>
    <x v="9"/>
    <x v="1"/>
    <x v="2"/>
    <x v="2"/>
    <n v="878"/>
    <n v="1"/>
  </r>
  <r>
    <n v="309"/>
    <x v="143"/>
    <x v="3"/>
    <x v="2"/>
    <x v="0"/>
    <n v="1320"/>
    <n v="2"/>
  </r>
  <r>
    <n v="310"/>
    <x v="40"/>
    <x v="2"/>
    <x v="30"/>
    <x v="3"/>
    <n v="1889"/>
    <n v="5"/>
  </r>
  <r>
    <n v="311"/>
    <x v="107"/>
    <x v="4"/>
    <x v="17"/>
    <x v="4"/>
    <n v="1330"/>
    <n v="5"/>
  </r>
  <r>
    <n v="312"/>
    <x v="87"/>
    <x v="4"/>
    <x v="30"/>
    <x v="1"/>
    <n v="1515"/>
    <n v="3"/>
  </r>
  <r>
    <n v="313"/>
    <x v="33"/>
    <x v="3"/>
    <x v="28"/>
    <x v="2"/>
    <n v="363"/>
    <n v="4"/>
  </r>
  <r>
    <n v="314"/>
    <x v="144"/>
    <x v="2"/>
    <x v="7"/>
    <x v="2"/>
    <n v="1616"/>
    <n v="2"/>
  </r>
  <r>
    <n v="315"/>
    <x v="123"/>
    <x v="5"/>
    <x v="4"/>
    <x v="2"/>
    <n v="66"/>
    <n v="3"/>
  </r>
  <r>
    <n v="316"/>
    <x v="57"/>
    <x v="3"/>
    <x v="10"/>
    <x v="0"/>
    <n v="1451"/>
    <n v="2"/>
  </r>
  <r>
    <n v="317"/>
    <x v="103"/>
    <x v="1"/>
    <x v="37"/>
    <x v="1"/>
    <n v="922"/>
    <n v="1"/>
  </r>
  <r>
    <n v="318"/>
    <x v="127"/>
    <x v="2"/>
    <x v="32"/>
    <x v="2"/>
    <n v="777"/>
    <n v="4"/>
  </r>
  <r>
    <n v="319"/>
    <x v="145"/>
    <x v="2"/>
    <x v="5"/>
    <x v="0"/>
    <n v="1553"/>
    <n v="3"/>
  </r>
  <r>
    <n v="320"/>
    <x v="39"/>
    <x v="2"/>
    <x v="36"/>
    <x v="3"/>
    <n v="1602"/>
    <n v="4"/>
  </r>
  <r>
    <n v="321"/>
    <x v="53"/>
    <x v="0"/>
    <x v="7"/>
    <x v="2"/>
    <n v="1223"/>
    <n v="4"/>
  </r>
  <r>
    <n v="322"/>
    <x v="104"/>
    <x v="3"/>
    <x v="14"/>
    <x v="2"/>
    <n v="1410"/>
    <n v="1"/>
  </r>
  <r>
    <n v="323"/>
    <x v="146"/>
    <x v="3"/>
    <x v="17"/>
    <x v="1"/>
    <n v="452"/>
    <n v="4"/>
  </r>
  <r>
    <n v="324"/>
    <x v="147"/>
    <x v="4"/>
    <x v="39"/>
    <x v="1"/>
    <n v="242"/>
    <n v="1"/>
  </r>
  <r>
    <n v="325"/>
    <x v="52"/>
    <x v="0"/>
    <x v="0"/>
    <x v="3"/>
    <n v="1568"/>
    <n v="4"/>
  </r>
  <r>
    <n v="326"/>
    <x v="106"/>
    <x v="4"/>
    <x v="23"/>
    <x v="2"/>
    <n v="207"/>
    <n v="4"/>
  </r>
  <r>
    <n v="327"/>
    <x v="68"/>
    <x v="0"/>
    <x v="38"/>
    <x v="4"/>
    <n v="1912"/>
    <n v="2"/>
  </r>
  <r>
    <n v="328"/>
    <x v="148"/>
    <x v="0"/>
    <x v="11"/>
    <x v="0"/>
    <n v="771"/>
    <n v="5"/>
  </r>
  <r>
    <n v="329"/>
    <x v="118"/>
    <x v="5"/>
    <x v="14"/>
    <x v="2"/>
    <n v="97"/>
    <n v="2"/>
  </r>
  <r>
    <n v="330"/>
    <x v="38"/>
    <x v="3"/>
    <x v="39"/>
    <x v="0"/>
    <n v="1361"/>
    <n v="5"/>
  </r>
  <r>
    <n v="331"/>
    <x v="139"/>
    <x v="2"/>
    <x v="20"/>
    <x v="4"/>
    <n v="1986"/>
    <n v="4"/>
  </r>
  <r>
    <n v="332"/>
    <x v="108"/>
    <x v="1"/>
    <x v="15"/>
    <x v="0"/>
    <n v="1244"/>
    <n v="3"/>
  </r>
  <r>
    <n v="333"/>
    <x v="149"/>
    <x v="4"/>
    <x v="36"/>
    <x v="3"/>
    <n v="1319"/>
    <n v="1"/>
  </r>
  <r>
    <n v="334"/>
    <x v="150"/>
    <x v="5"/>
    <x v="9"/>
    <x v="2"/>
    <n v="1554"/>
    <n v="4"/>
  </r>
  <r>
    <n v="335"/>
    <x v="151"/>
    <x v="1"/>
    <x v="33"/>
    <x v="4"/>
    <n v="1472"/>
    <n v="4"/>
  </r>
  <r>
    <n v="336"/>
    <x v="10"/>
    <x v="1"/>
    <x v="5"/>
    <x v="3"/>
    <n v="220"/>
    <n v="5"/>
  </r>
  <r>
    <n v="337"/>
    <x v="152"/>
    <x v="4"/>
    <x v="32"/>
    <x v="4"/>
    <n v="397"/>
    <n v="2"/>
  </r>
  <r>
    <n v="338"/>
    <x v="79"/>
    <x v="5"/>
    <x v="23"/>
    <x v="4"/>
    <n v="844"/>
    <n v="5"/>
  </r>
  <r>
    <n v="339"/>
    <x v="148"/>
    <x v="4"/>
    <x v="25"/>
    <x v="4"/>
    <n v="1733"/>
    <n v="3"/>
  </r>
  <r>
    <n v="340"/>
    <x v="28"/>
    <x v="5"/>
    <x v="31"/>
    <x v="1"/>
    <n v="1937"/>
    <n v="1"/>
  </r>
  <r>
    <n v="341"/>
    <x v="41"/>
    <x v="3"/>
    <x v="10"/>
    <x v="4"/>
    <n v="591"/>
    <n v="3"/>
  </r>
  <r>
    <n v="342"/>
    <x v="85"/>
    <x v="2"/>
    <x v="1"/>
    <x v="0"/>
    <n v="1022"/>
    <n v="3"/>
  </r>
  <r>
    <n v="343"/>
    <x v="153"/>
    <x v="5"/>
    <x v="35"/>
    <x v="3"/>
    <n v="990"/>
    <n v="5"/>
  </r>
  <r>
    <n v="344"/>
    <x v="149"/>
    <x v="1"/>
    <x v="32"/>
    <x v="2"/>
    <n v="842"/>
    <n v="2"/>
  </r>
  <r>
    <n v="345"/>
    <x v="151"/>
    <x v="4"/>
    <x v="2"/>
    <x v="4"/>
    <n v="506"/>
    <n v="5"/>
  </r>
  <r>
    <n v="346"/>
    <x v="127"/>
    <x v="4"/>
    <x v="32"/>
    <x v="0"/>
    <n v="1170"/>
    <n v="3"/>
  </r>
  <r>
    <n v="347"/>
    <x v="12"/>
    <x v="3"/>
    <x v="28"/>
    <x v="2"/>
    <n v="460"/>
    <n v="4"/>
  </r>
  <r>
    <n v="348"/>
    <x v="154"/>
    <x v="2"/>
    <x v="6"/>
    <x v="2"/>
    <n v="1321"/>
    <n v="1"/>
  </r>
  <r>
    <n v="349"/>
    <x v="153"/>
    <x v="4"/>
    <x v="26"/>
    <x v="0"/>
    <n v="166"/>
    <n v="5"/>
  </r>
  <r>
    <n v="350"/>
    <x v="35"/>
    <x v="0"/>
    <x v="23"/>
    <x v="0"/>
    <n v="1115"/>
    <n v="1"/>
  </r>
  <r>
    <n v="351"/>
    <x v="76"/>
    <x v="1"/>
    <x v="32"/>
    <x v="0"/>
    <n v="1919"/>
    <n v="2"/>
  </r>
  <r>
    <n v="352"/>
    <x v="152"/>
    <x v="3"/>
    <x v="17"/>
    <x v="0"/>
    <n v="1514"/>
    <n v="3"/>
  </r>
  <r>
    <n v="353"/>
    <x v="31"/>
    <x v="4"/>
    <x v="17"/>
    <x v="3"/>
    <n v="3"/>
    <n v="2"/>
  </r>
  <r>
    <n v="354"/>
    <x v="155"/>
    <x v="1"/>
    <x v="19"/>
    <x v="4"/>
    <n v="445"/>
    <n v="2"/>
  </r>
  <r>
    <n v="355"/>
    <x v="91"/>
    <x v="3"/>
    <x v="18"/>
    <x v="2"/>
    <n v="1028"/>
    <n v="4"/>
  </r>
  <r>
    <n v="356"/>
    <x v="86"/>
    <x v="2"/>
    <x v="21"/>
    <x v="3"/>
    <n v="893"/>
    <n v="4"/>
  </r>
  <r>
    <n v="357"/>
    <x v="60"/>
    <x v="0"/>
    <x v="17"/>
    <x v="3"/>
    <n v="1421"/>
    <n v="1"/>
  </r>
  <r>
    <n v="358"/>
    <x v="90"/>
    <x v="3"/>
    <x v="19"/>
    <x v="4"/>
    <n v="1941"/>
    <n v="2"/>
  </r>
  <r>
    <n v="359"/>
    <x v="54"/>
    <x v="2"/>
    <x v="14"/>
    <x v="3"/>
    <n v="1537"/>
    <n v="5"/>
  </r>
  <r>
    <n v="360"/>
    <x v="23"/>
    <x v="4"/>
    <x v="21"/>
    <x v="1"/>
    <n v="1957"/>
    <n v="3"/>
  </r>
  <r>
    <n v="361"/>
    <x v="131"/>
    <x v="0"/>
    <x v="21"/>
    <x v="1"/>
    <n v="307"/>
    <n v="3"/>
  </r>
  <r>
    <n v="362"/>
    <x v="136"/>
    <x v="5"/>
    <x v="37"/>
    <x v="3"/>
    <n v="1128"/>
    <n v="3"/>
  </r>
  <r>
    <n v="363"/>
    <x v="130"/>
    <x v="5"/>
    <x v="6"/>
    <x v="0"/>
    <n v="849"/>
    <n v="2"/>
  </r>
  <r>
    <n v="364"/>
    <x v="92"/>
    <x v="5"/>
    <x v="35"/>
    <x v="3"/>
    <n v="1252"/>
    <n v="1"/>
  </r>
  <r>
    <n v="365"/>
    <x v="33"/>
    <x v="0"/>
    <x v="34"/>
    <x v="4"/>
    <n v="1965"/>
    <n v="4"/>
  </r>
  <r>
    <n v="366"/>
    <x v="156"/>
    <x v="3"/>
    <x v="9"/>
    <x v="3"/>
    <n v="667"/>
    <n v="5"/>
  </r>
  <r>
    <n v="367"/>
    <x v="124"/>
    <x v="5"/>
    <x v="23"/>
    <x v="1"/>
    <n v="653"/>
    <n v="3"/>
  </r>
  <r>
    <n v="368"/>
    <x v="92"/>
    <x v="1"/>
    <x v="36"/>
    <x v="0"/>
    <n v="1602"/>
    <n v="4"/>
  </r>
  <r>
    <n v="369"/>
    <x v="157"/>
    <x v="2"/>
    <x v="14"/>
    <x v="0"/>
    <n v="1609"/>
    <n v="2"/>
  </r>
  <r>
    <n v="370"/>
    <x v="141"/>
    <x v="2"/>
    <x v="21"/>
    <x v="4"/>
    <n v="1234"/>
    <n v="4"/>
  </r>
  <r>
    <n v="371"/>
    <x v="158"/>
    <x v="1"/>
    <x v="28"/>
    <x v="3"/>
    <n v="186"/>
    <n v="3"/>
  </r>
  <r>
    <n v="372"/>
    <x v="60"/>
    <x v="4"/>
    <x v="1"/>
    <x v="3"/>
    <n v="556"/>
    <n v="4"/>
  </r>
  <r>
    <n v="373"/>
    <x v="103"/>
    <x v="3"/>
    <x v="24"/>
    <x v="2"/>
    <n v="408"/>
    <n v="5"/>
  </r>
  <r>
    <n v="374"/>
    <x v="106"/>
    <x v="3"/>
    <x v="27"/>
    <x v="0"/>
    <n v="754"/>
    <n v="3"/>
  </r>
  <r>
    <n v="375"/>
    <x v="120"/>
    <x v="1"/>
    <x v="2"/>
    <x v="0"/>
    <n v="131"/>
    <n v="1"/>
  </r>
  <r>
    <n v="376"/>
    <x v="124"/>
    <x v="4"/>
    <x v="6"/>
    <x v="4"/>
    <n v="1494"/>
    <n v="5"/>
  </r>
  <r>
    <n v="377"/>
    <x v="102"/>
    <x v="3"/>
    <x v="2"/>
    <x v="2"/>
    <n v="1960"/>
    <n v="5"/>
  </r>
  <r>
    <n v="378"/>
    <x v="159"/>
    <x v="1"/>
    <x v="26"/>
    <x v="2"/>
    <n v="1586"/>
    <n v="4"/>
  </r>
  <r>
    <n v="379"/>
    <x v="101"/>
    <x v="2"/>
    <x v="4"/>
    <x v="3"/>
    <n v="255"/>
    <n v="1"/>
  </r>
  <r>
    <n v="380"/>
    <x v="57"/>
    <x v="5"/>
    <x v="19"/>
    <x v="4"/>
    <n v="1469"/>
    <n v="2"/>
  </r>
  <r>
    <n v="381"/>
    <x v="32"/>
    <x v="2"/>
    <x v="21"/>
    <x v="2"/>
    <n v="1321"/>
    <n v="4"/>
  </r>
  <r>
    <n v="382"/>
    <x v="160"/>
    <x v="1"/>
    <x v="12"/>
    <x v="4"/>
    <n v="735"/>
    <n v="2"/>
  </r>
  <r>
    <n v="383"/>
    <x v="156"/>
    <x v="4"/>
    <x v="9"/>
    <x v="2"/>
    <n v="153"/>
    <n v="3"/>
  </r>
  <r>
    <n v="384"/>
    <x v="158"/>
    <x v="0"/>
    <x v="1"/>
    <x v="4"/>
    <n v="1474"/>
    <n v="1"/>
  </r>
  <r>
    <n v="385"/>
    <x v="111"/>
    <x v="1"/>
    <x v="17"/>
    <x v="2"/>
    <n v="1108"/>
    <n v="2"/>
  </r>
  <r>
    <n v="386"/>
    <x v="29"/>
    <x v="4"/>
    <x v="32"/>
    <x v="3"/>
    <n v="1430"/>
    <n v="4"/>
  </r>
  <r>
    <n v="387"/>
    <x v="81"/>
    <x v="4"/>
    <x v="36"/>
    <x v="2"/>
    <n v="788"/>
    <n v="5"/>
  </r>
  <r>
    <n v="388"/>
    <x v="11"/>
    <x v="4"/>
    <x v="23"/>
    <x v="2"/>
    <n v="1362"/>
    <n v="3"/>
  </r>
  <r>
    <n v="389"/>
    <x v="91"/>
    <x v="0"/>
    <x v="27"/>
    <x v="1"/>
    <n v="744"/>
    <n v="3"/>
  </r>
  <r>
    <n v="390"/>
    <x v="89"/>
    <x v="4"/>
    <x v="15"/>
    <x v="1"/>
    <n v="1252"/>
    <n v="2"/>
  </r>
  <r>
    <n v="391"/>
    <x v="60"/>
    <x v="4"/>
    <x v="14"/>
    <x v="2"/>
    <n v="1378"/>
    <n v="3"/>
  </r>
  <r>
    <n v="392"/>
    <x v="101"/>
    <x v="3"/>
    <x v="32"/>
    <x v="1"/>
    <n v="192"/>
    <n v="5"/>
  </r>
  <r>
    <n v="393"/>
    <x v="138"/>
    <x v="5"/>
    <x v="19"/>
    <x v="2"/>
    <n v="1876"/>
    <n v="2"/>
  </r>
  <r>
    <n v="394"/>
    <x v="161"/>
    <x v="4"/>
    <x v="30"/>
    <x v="1"/>
    <n v="1640"/>
    <n v="1"/>
  </r>
  <r>
    <n v="395"/>
    <x v="77"/>
    <x v="0"/>
    <x v="2"/>
    <x v="0"/>
    <n v="848"/>
    <n v="4"/>
  </r>
  <r>
    <n v="396"/>
    <x v="71"/>
    <x v="3"/>
    <x v="15"/>
    <x v="1"/>
    <n v="692"/>
    <n v="1"/>
  </r>
  <r>
    <n v="397"/>
    <x v="69"/>
    <x v="5"/>
    <x v="29"/>
    <x v="1"/>
    <n v="549"/>
    <n v="1"/>
  </r>
  <r>
    <n v="398"/>
    <x v="2"/>
    <x v="4"/>
    <x v="3"/>
    <x v="2"/>
    <n v="1482"/>
    <n v="2"/>
  </r>
  <r>
    <n v="399"/>
    <x v="56"/>
    <x v="3"/>
    <x v="4"/>
    <x v="4"/>
    <n v="3"/>
    <n v="5"/>
  </r>
  <r>
    <n v="400"/>
    <x v="145"/>
    <x v="0"/>
    <x v="12"/>
    <x v="2"/>
    <n v="467"/>
    <n v="3"/>
  </r>
  <r>
    <n v="401"/>
    <x v="37"/>
    <x v="3"/>
    <x v="8"/>
    <x v="3"/>
    <n v="1746"/>
    <n v="3"/>
  </r>
  <r>
    <n v="402"/>
    <x v="73"/>
    <x v="5"/>
    <x v="38"/>
    <x v="3"/>
    <n v="681"/>
    <n v="4"/>
  </r>
  <r>
    <n v="403"/>
    <x v="97"/>
    <x v="0"/>
    <x v="3"/>
    <x v="4"/>
    <n v="136"/>
    <n v="3"/>
  </r>
  <r>
    <n v="404"/>
    <x v="58"/>
    <x v="4"/>
    <x v="27"/>
    <x v="1"/>
    <n v="1600"/>
    <n v="3"/>
  </r>
  <r>
    <n v="405"/>
    <x v="46"/>
    <x v="4"/>
    <x v="23"/>
    <x v="3"/>
    <n v="1825"/>
    <n v="5"/>
  </r>
  <r>
    <n v="406"/>
    <x v="135"/>
    <x v="0"/>
    <x v="12"/>
    <x v="3"/>
    <n v="957"/>
    <n v="1"/>
  </r>
  <r>
    <n v="407"/>
    <x v="157"/>
    <x v="3"/>
    <x v="14"/>
    <x v="0"/>
    <n v="1941"/>
    <n v="5"/>
  </r>
  <r>
    <n v="408"/>
    <x v="160"/>
    <x v="4"/>
    <x v="31"/>
    <x v="2"/>
    <n v="417"/>
    <n v="1"/>
  </r>
  <r>
    <n v="409"/>
    <x v="91"/>
    <x v="5"/>
    <x v="27"/>
    <x v="0"/>
    <n v="1839"/>
    <n v="4"/>
  </r>
  <r>
    <n v="410"/>
    <x v="15"/>
    <x v="1"/>
    <x v="34"/>
    <x v="4"/>
    <n v="1647"/>
    <n v="1"/>
  </r>
  <r>
    <n v="411"/>
    <x v="34"/>
    <x v="4"/>
    <x v="3"/>
    <x v="0"/>
    <n v="87"/>
    <n v="5"/>
  </r>
  <r>
    <n v="412"/>
    <x v="17"/>
    <x v="4"/>
    <x v="39"/>
    <x v="1"/>
    <n v="1123"/>
    <n v="2"/>
  </r>
  <r>
    <n v="413"/>
    <x v="140"/>
    <x v="2"/>
    <x v="25"/>
    <x v="0"/>
    <n v="1881"/>
    <n v="1"/>
  </r>
  <r>
    <n v="414"/>
    <x v="162"/>
    <x v="3"/>
    <x v="1"/>
    <x v="0"/>
    <n v="517"/>
    <n v="1"/>
  </r>
  <r>
    <n v="415"/>
    <x v="30"/>
    <x v="0"/>
    <x v="9"/>
    <x v="3"/>
    <n v="1662"/>
    <n v="3"/>
  </r>
  <r>
    <n v="416"/>
    <x v="55"/>
    <x v="0"/>
    <x v="15"/>
    <x v="0"/>
    <n v="540"/>
    <n v="4"/>
  </r>
  <r>
    <n v="417"/>
    <x v="133"/>
    <x v="1"/>
    <x v="30"/>
    <x v="1"/>
    <n v="207"/>
    <n v="1"/>
  </r>
  <r>
    <n v="418"/>
    <x v="109"/>
    <x v="0"/>
    <x v="0"/>
    <x v="3"/>
    <n v="879"/>
    <n v="2"/>
  </r>
  <r>
    <n v="419"/>
    <x v="76"/>
    <x v="4"/>
    <x v="26"/>
    <x v="0"/>
    <n v="1602"/>
    <n v="5"/>
  </r>
  <r>
    <n v="420"/>
    <x v="142"/>
    <x v="3"/>
    <x v="10"/>
    <x v="3"/>
    <n v="1061"/>
    <n v="1"/>
  </r>
  <r>
    <n v="421"/>
    <x v="1"/>
    <x v="3"/>
    <x v="4"/>
    <x v="4"/>
    <n v="569"/>
    <n v="1"/>
  </r>
  <r>
    <n v="422"/>
    <x v="83"/>
    <x v="1"/>
    <x v="18"/>
    <x v="0"/>
    <n v="1479"/>
    <n v="3"/>
  </r>
  <r>
    <n v="423"/>
    <x v="161"/>
    <x v="0"/>
    <x v="30"/>
    <x v="2"/>
    <n v="1940"/>
    <n v="5"/>
  </r>
  <r>
    <n v="424"/>
    <x v="123"/>
    <x v="4"/>
    <x v="28"/>
    <x v="3"/>
    <n v="1590"/>
    <n v="5"/>
  </r>
  <r>
    <n v="425"/>
    <x v="60"/>
    <x v="0"/>
    <x v="1"/>
    <x v="1"/>
    <n v="882"/>
    <n v="1"/>
  </r>
  <r>
    <n v="426"/>
    <x v="39"/>
    <x v="3"/>
    <x v="40"/>
    <x v="1"/>
    <n v="593"/>
    <n v="2"/>
  </r>
  <r>
    <n v="427"/>
    <x v="138"/>
    <x v="5"/>
    <x v="0"/>
    <x v="2"/>
    <n v="1853"/>
    <n v="1"/>
  </r>
  <r>
    <n v="428"/>
    <x v="146"/>
    <x v="4"/>
    <x v="4"/>
    <x v="0"/>
    <n v="1276"/>
    <n v="3"/>
  </r>
  <r>
    <n v="429"/>
    <x v="71"/>
    <x v="1"/>
    <x v="32"/>
    <x v="3"/>
    <n v="563"/>
    <n v="1"/>
  </r>
  <r>
    <n v="430"/>
    <x v="62"/>
    <x v="2"/>
    <x v="27"/>
    <x v="1"/>
    <n v="114"/>
    <n v="4"/>
  </r>
  <r>
    <n v="431"/>
    <x v="30"/>
    <x v="2"/>
    <x v="40"/>
    <x v="0"/>
    <n v="997"/>
    <n v="3"/>
  </r>
  <r>
    <n v="432"/>
    <x v="35"/>
    <x v="3"/>
    <x v="9"/>
    <x v="2"/>
    <n v="492"/>
    <n v="1"/>
  </r>
  <r>
    <n v="433"/>
    <x v="125"/>
    <x v="5"/>
    <x v="23"/>
    <x v="4"/>
    <n v="1722"/>
    <n v="3"/>
  </r>
  <r>
    <n v="434"/>
    <x v="52"/>
    <x v="3"/>
    <x v="15"/>
    <x v="1"/>
    <n v="1314"/>
    <n v="5"/>
  </r>
  <r>
    <n v="435"/>
    <x v="44"/>
    <x v="5"/>
    <x v="38"/>
    <x v="2"/>
    <n v="702"/>
    <n v="2"/>
  </r>
  <r>
    <n v="436"/>
    <x v="70"/>
    <x v="1"/>
    <x v="6"/>
    <x v="1"/>
    <n v="1090"/>
    <n v="2"/>
  </r>
  <r>
    <n v="437"/>
    <x v="88"/>
    <x v="2"/>
    <x v="9"/>
    <x v="3"/>
    <n v="1552"/>
    <n v="5"/>
  </r>
  <r>
    <n v="438"/>
    <x v="64"/>
    <x v="2"/>
    <x v="30"/>
    <x v="1"/>
    <n v="1087"/>
    <n v="4"/>
  </r>
  <r>
    <n v="439"/>
    <x v="86"/>
    <x v="3"/>
    <x v="10"/>
    <x v="2"/>
    <n v="665"/>
    <n v="4"/>
  </r>
  <r>
    <n v="440"/>
    <x v="89"/>
    <x v="2"/>
    <x v="16"/>
    <x v="4"/>
    <n v="1247"/>
    <n v="5"/>
  </r>
  <r>
    <n v="441"/>
    <x v="70"/>
    <x v="2"/>
    <x v="11"/>
    <x v="0"/>
    <n v="1265"/>
    <n v="5"/>
  </r>
  <r>
    <n v="442"/>
    <x v="11"/>
    <x v="4"/>
    <x v="25"/>
    <x v="4"/>
    <n v="828"/>
    <n v="3"/>
  </r>
  <r>
    <n v="443"/>
    <x v="78"/>
    <x v="4"/>
    <x v="31"/>
    <x v="4"/>
    <n v="1960"/>
    <n v="3"/>
  </r>
  <r>
    <n v="444"/>
    <x v="115"/>
    <x v="5"/>
    <x v="13"/>
    <x v="2"/>
    <n v="120"/>
    <n v="4"/>
  </r>
  <r>
    <n v="445"/>
    <x v="137"/>
    <x v="1"/>
    <x v="36"/>
    <x v="2"/>
    <n v="1951"/>
    <n v="3"/>
  </r>
  <r>
    <n v="446"/>
    <x v="159"/>
    <x v="2"/>
    <x v="1"/>
    <x v="2"/>
    <n v="756"/>
    <n v="2"/>
  </r>
  <r>
    <n v="447"/>
    <x v="163"/>
    <x v="3"/>
    <x v="27"/>
    <x v="1"/>
    <n v="178"/>
    <n v="5"/>
  </r>
  <r>
    <n v="448"/>
    <x v="25"/>
    <x v="1"/>
    <x v="18"/>
    <x v="2"/>
    <n v="912"/>
    <n v="4"/>
  </r>
  <r>
    <n v="449"/>
    <x v="164"/>
    <x v="2"/>
    <x v="14"/>
    <x v="2"/>
    <n v="216"/>
    <n v="1"/>
  </r>
  <r>
    <n v="450"/>
    <x v="150"/>
    <x v="2"/>
    <x v="15"/>
    <x v="1"/>
    <n v="647"/>
    <n v="2"/>
  </r>
  <r>
    <n v="451"/>
    <x v="7"/>
    <x v="1"/>
    <x v="18"/>
    <x v="1"/>
    <n v="1101"/>
    <n v="2"/>
  </r>
  <r>
    <n v="452"/>
    <x v="129"/>
    <x v="1"/>
    <x v="32"/>
    <x v="0"/>
    <n v="426"/>
    <n v="2"/>
  </r>
  <r>
    <n v="453"/>
    <x v="110"/>
    <x v="0"/>
    <x v="18"/>
    <x v="1"/>
    <n v="1476"/>
    <n v="1"/>
  </r>
  <r>
    <n v="454"/>
    <x v="61"/>
    <x v="3"/>
    <x v="38"/>
    <x v="1"/>
    <n v="1417"/>
    <n v="2"/>
  </r>
  <r>
    <n v="455"/>
    <x v="104"/>
    <x v="2"/>
    <x v="25"/>
    <x v="0"/>
    <n v="1715"/>
    <n v="2"/>
  </r>
  <r>
    <n v="456"/>
    <x v="95"/>
    <x v="1"/>
    <x v="9"/>
    <x v="1"/>
    <n v="1289"/>
    <n v="4"/>
  </r>
  <r>
    <n v="457"/>
    <x v="110"/>
    <x v="5"/>
    <x v="21"/>
    <x v="2"/>
    <n v="1427"/>
    <n v="5"/>
  </r>
  <r>
    <n v="458"/>
    <x v="87"/>
    <x v="5"/>
    <x v="19"/>
    <x v="3"/>
    <n v="445"/>
    <n v="5"/>
  </r>
  <r>
    <n v="459"/>
    <x v="111"/>
    <x v="3"/>
    <x v="8"/>
    <x v="0"/>
    <n v="1390"/>
    <n v="4"/>
  </r>
  <r>
    <n v="460"/>
    <x v="83"/>
    <x v="4"/>
    <x v="10"/>
    <x v="1"/>
    <n v="1897"/>
    <n v="3"/>
  </r>
  <r>
    <n v="461"/>
    <x v="142"/>
    <x v="0"/>
    <x v="24"/>
    <x v="0"/>
    <n v="713"/>
    <n v="5"/>
  </r>
  <r>
    <n v="462"/>
    <x v="136"/>
    <x v="0"/>
    <x v="28"/>
    <x v="3"/>
    <n v="1509"/>
    <n v="2"/>
  </r>
  <r>
    <n v="463"/>
    <x v="4"/>
    <x v="3"/>
    <x v="6"/>
    <x v="2"/>
    <n v="210"/>
    <n v="4"/>
  </r>
  <r>
    <n v="464"/>
    <x v="86"/>
    <x v="1"/>
    <x v="39"/>
    <x v="3"/>
    <n v="660"/>
    <n v="3"/>
  </r>
  <r>
    <n v="465"/>
    <x v="163"/>
    <x v="3"/>
    <x v="32"/>
    <x v="2"/>
    <n v="872"/>
    <n v="2"/>
  </r>
  <r>
    <n v="466"/>
    <x v="5"/>
    <x v="3"/>
    <x v="24"/>
    <x v="3"/>
    <n v="1225"/>
    <n v="5"/>
  </r>
  <r>
    <n v="467"/>
    <x v="39"/>
    <x v="4"/>
    <x v="6"/>
    <x v="3"/>
    <n v="1916"/>
    <n v="5"/>
  </r>
  <r>
    <n v="468"/>
    <x v="59"/>
    <x v="3"/>
    <x v="2"/>
    <x v="3"/>
    <n v="1173"/>
    <n v="2"/>
  </r>
  <r>
    <n v="469"/>
    <x v="8"/>
    <x v="2"/>
    <x v="36"/>
    <x v="0"/>
    <n v="297"/>
    <n v="3"/>
  </r>
  <r>
    <n v="470"/>
    <x v="165"/>
    <x v="1"/>
    <x v="23"/>
    <x v="0"/>
    <n v="1244"/>
    <n v="5"/>
  </r>
  <r>
    <n v="471"/>
    <x v="105"/>
    <x v="1"/>
    <x v="2"/>
    <x v="4"/>
    <n v="1099"/>
    <n v="4"/>
  </r>
  <r>
    <n v="472"/>
    <x v="166"/>
    <x v="4"/>
    <x v="33"/>
    <x v="4"/>
    <n v="1448"/>
    <n v="1"/>
  </r>
  <r>
    <n v="473"/>
    <x v="91"/>
    <x v="2"/>
    <x v="26"/>
    <x v="0"/>
    <n v="155"/>
    <n v="5"/>
  </r>
  <r>
    <n v="474"/>
    <x v="107"/>
    <x v="3"/>
    <x v="2"/>
    <x v="3"/>
    <n v="214"/>
    <n v="2"/>
  </r>
  <r>
    <n v="475"/>
    <x v="59"/>
    <x v="2"/>
    <x v="22"/>
    <x v="1"/>
    <n v="1956"/>
    <n v="1"/>
  </r>
  <r>
    <n v="476"/>
    <x v="57"/>
    <x v="3"/>
    <x v="24"/>
    <x v="2"/>
    <n v="1938"/>
    <n v="3"/>
  </r>
  <r>
    <n v="477"/>
    <x v="151"/>
    <x v="2"/>
    <x v="28"/>
    <x v="4"/>
    <n v="336"/>
    <n v="5"/>
  </r>
  <r>
    <n v="478"/>
    <x v="146"/>
    <x v="0"/>
    <x v="31"/>
    <x v="4"/>
    <n v="1467"/>
    <n v="1"/>
  </r>
  <r>
    <n v="479"/>
    <x v="88"/>
    <x v="5"/>
    <x v="10"/>
    <x v="3"/>
    <n v="308"/>
    <n v="5"/>
  </r>
  <r>
    <n v="480"/>
    <x v="26"/>
    <x v="2"/>
    <x v="7"/>
    <x v="0"/>
    <n v="1581"/>
    <n v="3"/>
  </r>
  <r>
    <n v="481"/>
    <x v="72"/>
    <x v="1"/>
    <x v="20"/>
    <x v="4"/>
    <n v="539"/>
    <n v="5"/>
  </r>
  <r>
    <n v="482"/>
    <x v="132"/>
    <x v="3"/>
    <x v="28"/>
    <x v="4"/>
    <n v="1847"/>
    <n v="1"/>
  </r>
  <r>
    <n v="483"/>
    <x v="122"/>
    <x v="5"/>
    <x v="3"/>
    <x v="2"/>
    <n v="495"/>
    <n v="3"/>
  </r>
  <r>
    <n v="484"/>
    <x v="74"/>
    <x v="5"/>
    <x v="9"/>
    <x v="3"/>
    <n v="369"/>
    <n v="5"/>
  </r>
  <r>
    <n v="485"/>
    <x v="31"/>
    <x v="4"/>
    <x v="16"/>
    <x v="1"/>
    <n v="1963"/>
    <n v="3"/>
  </r>
  <r>
    <n v="486"/>
    <x v="40"/>
    <x v="3"/>
    <x v="25"/>
    <x v="2"/>
    <n v="1334"/>
    <n v="3"/>
  </r>
  <r>
    <n v="487"/>
    <x v="56"/>
    <x v="3"/>
    <x v="7"/>
    <x v="3"/>
    <n v="886"/>
    <n v="2"/>
  </r>
  <r>
    <n v="488"/>
    <x v="142"/>
    <x v="1"/>
    <x v="22"/>
    <x v="0"/>
    <n v="689"/>
    <n v="3"/>
  </r>
  <r>
    <n v="489"/>
    <x v="155"/>
    <x v="1"/>
    <x v="12"/>
    <x v="2"/>
    <n v="1880"/>
    <n v="1"/>
  </r>
  <r>
    <n v="490"/>
    <x v="112"/>
    <x v="1"/>
    <x v="29"/>
    <x v="2"/>
    <n v="1357"/>
    <n v="4"/>
  </r>
  <r>
    <n v="491"/>
    <x v="117"/>
    <x v="2"/>
    <x v="38"/>
    <x v="0"/>
    <n v="1007"/>
    <n v="5"/>
  </r>
  <r>
    <n v="492"/>
    <x v="150"/>
    <x v="2"/>
    <x v="37"/>
    <x v="2"/>
    <n v="1126"/>
    <n v="3"/>
  </r>
  <r>
    <n v="493"/>
    <x v="117"/>
    <x v="3"/>
    <x v="17"/>
    <x v="4"/>
    <n v="1779"/>
    <n v="1"/>
  </r>
  <r>
    <n v="494"/>
    <x v="78"/>
    <x v="3"/>
    <x v="36"/>
    <x v="4"/>
    <n v="668"/>
    <n v="1"/>
  </r>
  <r>
    <n v="495"/>
    <x v="119"/>
    <x v="2"/>
    <x v="18"/>
    <x v="1"/>
    <n v="204"/>
    <n v="1"/>
  </r>
  <r>
    <n v="496"/>
    <x v="63"/>
    <x v="5"/>
    <x v="10"/>
    <x v="2"/>
    <n v="1517"/>
    <n v="5"/>
  </r>
  <r>
    <n v="497"/>
    <x v="160"/>
    <x v="5"/>
    <x v="14"/>
    <x v="1"/>
    <n v="840"/>
    <n v="1"/>
  </r>
  <r>
    <n v="498"/>
    <x v="60"/>
    <x v="1"/>
    <x v="26"/>
    <x v="1"/>
    <n v="1724"/>
    <n v="1"/>
  </r>
  <r>
    <n v="499"/>
    <x v="167"/>
    <x v="3"/>
    <x v="27"/>
    <x v="1"/>
    <n v="951"/>
    <n v="3"/>
  </r>
  <r>
    <n v="500"/>
    <x v="168"/>
    <x v="4"/>
    <x v="18"/>
    <x v="3"/>
    <n v="1892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s v="Neri"/>
    <s v="Piacenza"/>
    <x v="0"/>
    <n v="360"/>
    <n v="3"/>
    <x v="0"/>
    <s v="PC"/>
  </r>
  <r>
    <n v="2"/>
    <x v="1"/>
    <s v="Bianchi"/>
    <s v="Pistoia"/>
    <x v="0"/>
    <n v="1496"/>
    <n v="5"/>
    <x v="1"/>
    <s v="PT"/>
  </r>
  <r>
    <n v="3"/>
    <x v="2"/>
    <s v="Bianchi"/>
    <s v="Verbano-Cusio-Ossola"/>
    <x v="1"/>
    <n v="1342"/>
    <n v="4"/>
    <x v="2"/>
    <s v="VB"/>
  </r>
  <r>
    <n v="4"/>
    <x v="3"/>
    <s v="Azzurri"/>
    <s v="Ravenna"/>
    <x v="2"/>
    <n v="972"/>
    <n v="1"/>
    <x v="0"/>
    <s v="RA"/>
  </r>
  <r>
    <n v="5"/>
    <x v="4"/>
    <s v="Bianchi"/>
    <s v="Pisa"/>
    <x v="1"/>
    <n v="348"/>
    <n v="2"/>
    <x v="1"/>
    <s v="PI"/>
  </r>
  <r>
    <n v="6"/>
    <x v="5"/>
    <s v="Bianchi"/>
    <s v="Vercelli"/>
    <x v="3"/>
    <n v="31"/>
    <n v="1"/>
    <x v="2"/>
    <s v="VC"/>
  </r>
  <r>
    <n v="7"/>
    <x v="6"/>
    <s v="Bianchi"/>
    <s v="Sassari"/>
    <x v="2"/>
    <n v="1087"/>
    <n v="4"/>
    <x v="3"/>
    <s v="SS"/>
  </r>
  <r>
    <n v="8"/>
    <x v="7"/>
    <s v="Azzurri"/>
    <s v="Sassari"/>
    <x v="1"/>
    <n v="760"/>
    <n v="2"/>
    <x v="3"/>
    <s v="SS"/>
  </r>
  <r>
    <n v="9"/>
    <x v="8"/>
    <s v="Azzurri"/>
    <s v="Pistoia"/>
    <x v="1"/>
    <n v="10"/>
    <n v="5"/>
    <x v="1"/>
    <s v="PT"/>
  </r>
  <r>
    <n v="10"/>
    <x v="9"/>
    <s v="Azzurri"/>
    <s v="Trieste"/>
    <x v="0"/>
    <n v="357"/>
    <n v="2"/>
    <x v="4"/>
    <s v="TS"/>
  </r>
  <r>
    <n v="11"/>
    <x v="10"/>
    <s v="Azzurri"/>
    <s v="Sassari"/>
    <x v="1"/>
    <n v="19"/>
    <n v="1"/>
    <x v="3"/>
    <s v="SS"/>
  </r>
  <r>
    <n v="12"/>
    <x v="11"/>
    <s v="Rossi"/>
    <s v="Rimini"/>
    <x v="3"/>
    <n v="20"/>
    <n v="1"/>
    <x v="0"/>
    <s v="RN"/>
  </r>
  <r>
    <n v="13"/>
    <x v="12"/>
    <s v="Azzurri"/>
    <s v="Siena"/>
    <x v="0"/>
    <n v="604"/>
    <n v="1"/>
    <x v="1"/>
    <s v="SI"/>
  </r>
  <r>
    <n v="14"/>
    <x v="13"/>
    <s v="Verdi"/>
    <s v="Potenza"/>
    <x v="4"/>
    <n v="856"/>
    <n v="3"/>
    <x v="5"/>
    <s v="PZ"/>
  </r>
  <r>
    <n v="15"/>
    <x v="14"/>
    <s v="Bianchi"/>
    <s v="Reggio nell'Emilia"/>
    <x v="4"/>
    <n v="833"/>
    <n v="3"/>
    <x v="0"/>
    <s v="RE"/>
  </r>
  <r>
    <n v="16"/>
    <x v="15"/>
    <s v="Verdi"/>
    <s v="Treviso"/>
    <x v="2"/>
    <n v="1782"/>
    <n v="2"/>
    <x v="6"/>
    <s v="TV"/>
  </r>
  <r>
    <n v="17"/>
    <x v="16"/>
    <s v="Bianchi"/>
    <s v="Pavia"/>
    <x v="4"/>
    <n v="1428"/>
    <n v="5"/>
    <x v="7"/>
    <s v="PV"/>
  </r>
  <r>
    <n v="18"/>
    <x v="17"/>
    <s v="Bianchi"/>
    <s v="Savona"/>
    <x v="1"/>
    <n v="1677"/>
    <n v="5"/>
    <x v="8"/>
    <s v="SV"/>
  </r>
  <r>
    <n v="19"/>
    <x v="18"/>
    <s v="Gialli"/>
    <s v="Rimini"/>
    <x v="2"/>
    <n v="1514"/>
    <n v="2"/>
    <x v="0"/>
    <s v="RN"/>
  </r>
  <r>
    <n v="20"/>
    <x v="19"/>
    <s v="Rossi"/>
    <s v="Venezia"/>
    <x v="4"/>
    <n v="459"/>
    <n v="3"/>
    <x v="6"/>
    <s v="VE"/>
  </r>
  <r>
    <n v="21"/>
    <x v="20"/>
    <s v="Verdi"/>
    <s v="Vercelli"/>
    <x v="3"/>
    <n v="344"/>
    <n v="2"/>
    <x v="2"/>
    <s v="VC"/>
  </r>
  <r>
    <n v="22"/>
    <x v="21"/>
    <s v="Neri"/>
    <s v="Verona"/>
    <x v="4"/>
    <n v="10"/>
    <n v="4"/>
    <x v="6"/>
    <s v="VR"/>
  </r>
  <r>
    <n v="23"/>
    <x v="22"/>
    <s v="Rossi"/>
    <s v="Rovigo"/>
    <x v="1"/>
    <n v="1582"/>
    <n v="3"/>
    <x v="6"/>
    <s v="RO"/>
  </r>
  <r>
    <n v="24"/>
    <x v="2"/>
    <s v="Azzurri"/>
    <s v="Trapani"/>
    <x v="4"/>
    <n v="1072"/>
    <n v="5"/>
    <x v="9"/>
    <s v="TP"/>
  </r>
  <r>
    <n v="25"/>
    <x v="19"/>
    <s v="Rossi"/>
    <s v="Sondrio"/>
    <x v="4"/>
    <n v="1793"/>
    <n v="5"/>
    <x v="7"/>
    <s v="SO"/>
  </r>
  <r>
    <n v="26"/>
    <x v="23"/>
    <s v="Neri"/>
    <s v="Rimini"/>
    <x v="3"/>
    <n v="1039"/>
    <n v="1"/>
    <x v="0"/>
    <s v="RN"/>
  </r>
  <r>
    <n v="27"/>
    <x v="24"/>
    <s v="Neri"/>
    <s v="Vicenza"/>
    <x v="2"/>
    <n v="1114"/>
    <n v="5"/>
    <x v="6"/>
    <s v="VI"/>
  </r>
  <r>
    <n v="28"/>
    <x v="25"/>
    <s v="Azzurri"/>
    <s v="Pistoia"/>
    <x v="3"/>
    <n v="643"/>
    <n v="1"/>
    <x v="1"/>
    <s v="PT"/>
  </r>
  <r>
    <n v="29"/>
    <x v="26"/>
    <s v="Gialli"/>
    <s v="Reggio nell'Emilia"/>
    <x v="3"/>
    <n v="328"/>
    <n v="4"/>
    <x v="0"/>
    <s v="RE"/>
  </r>
  <r>
    <n v="30"/>
    <x v="27"/>
    <s v="Bianchi"/>
    <s v="Pesaro e Urbino"/>
    <x v="2"/>
    <n v="95"/>
    <n v="3"/>
    <x v="10"/>
    <s v="PS"/>
  </r>
  <r>
    <n v="31"/>
    <x v="28"/>
    <s v="Bianchi"/>
    <s v="Treviso"/>
    <x v="0"/>
    <n v="270"/>
    <n v="5"/>
    <x v="6"/>
    <s v="TV"/>
  </r>
  <r>
    <n v="32"/>
    <x v="29"/>
    <s v="Neri"/>
    <s v="Sassari"/>
    <x v="2"/>
    <n v="1640"/>
    <n v="5"/>
    <x v="3"/>
    <s v="SS"/>
  </r>
  <r>
    <n v="33"/>
    <x v="30"/>
    <s v="Gialli"/>
    <s v="Trento"/>
    <x v="3"/>
    <n v="759"/>
    <n v="2"/>
    <x v="11"/>
    <s v="TN"/>
  </r>
  <r>
    <n v="34"/>
    <x v="31"/>
    <s v="Azzurri"/>
    <s v="Trapani"/>
    <x v="1"/>
    <n v="1288"/>
    <n v="1"/>
    <x v="9"/>
    <s v="TP"/>
  </r>
  <r>
    <n v="35"/>
    <x v="32"/>
    <s v="Azzurri"/>
    <s v="Viterbo"/>
    <x v="0"/>
    <n v="1857"/>
    <n v="3"/>
    <x v="12"/>
    <s v="VT"/>
  </r>
  <r>
    <n v="36"/>
    <x v="33"/>
    <s v="Gialli"/>
    <s v="Torino"/>
    <x v="4"/>
    <n v="1558"/>
    <n v="3"/>
    <x v="2"/>
    <s v="TO"/>
  </r>
  <r>
    <n v="37"/>
    <x v="34"/>
    <s v="Gialli"/>
    <s v="Potenza"/>
    <x v="4"/>
    <n v="1879"/>
    <n v="3"/>
    <x v="5"/>
    <s v="PZ"/>
  </r>
  <r>
    <n v="38"/>
    <x v="35"/>
    <s v="Neri"/>
    <s v="Salerno"/>
    <x v="1"/>
    <n v="155"/>
    <n v="1"/>
    <x v="13"/>
    <s v="SA"/>
  </r>
  <r>
    <n v="39"/>
    <x v="36"/>
    <s v="Rossi"/>
    <s v="Sassari"/>
    <x v="2"/>
    <n v="1361"/>
    <n v="3"/>
    <x v="3"/>
    <s v="SS"/>
  </r>
  <r>
    <n v="40"/>
    <x v="37"/>
    <s v="Neri"/>
    <s v="Vicenza"/>
    <x v="0"/>
    <n v="735"/>
    <n v="5"/>
    <x v="6"/>
    <s v="VI"/>
  </r>
  <r>
    <n v="41"/>
    <x v="12"/>
    <s v="Rossi"/>
    <s v="Pisa"/>
    <x v="3"/>
    <n v="1916"/>
    <n v="3"/>
    <x v="1"/>
    <s v="PI"/>
  </r>
  <r>
    <n v="42"/>
    <x v="38"/>
    <s v="Bianchi"/>
    <s v="Vicenza"/>
    <x v="0"/>
    <n v="1747"/>
    <n v="5"/>
    <x v="6"/>
    <s v="VI"/>
  </r>
  <r>
    <n v="43"/>
    <x v="39"/>
    <s v="Rossi"/>
    <s v="Ragusa"/>
    <x v="4"/>
    <n v="1313"/>
    <n v="4"/>
    <x v="9"/>
    <s v="RG"/>
  </r>
  <r>
    <n v="44"/>
    <x v="14"/>
    <s v="Neri"/>
    <s v="Savona"/>
    <x v="0"/>
    <n v="1260"/>
    <n v="4"/>
    <x v="8"/>
    <s v="SV"/>
  </r>
  <r>
    <n v="45"/>
    <x v="40"/>
    <s v="Gialli"/>
    <s v="Reggio nell'Emilia"/>
    <x v="3"/>
    <n v="1484"/>
    <n v="2"/>
    <x v="0"/>
    <s v="RE"/>
  </r>
  <r>
    <n v="46"/>
    <x v="41"/>
    <s v="Gialli"/>
    <s v="Potenza"/>
    <x v="2"/>
    <n v="1887"/>
    <n v="5"/>
    <x v="5"/>
    <s v="PZ"/>
  </r>
  <r>
    <n v="47"/>
    <x v="28"/>
    <s v="Azzurri"/>
    <s v="Vibo Valentia"/>
    <x v="0"/>
    <n v="1918"/>
    <n v="3"/>
    <x v="14"/>
    <s v="VV"/>
  </r>
  <r>
    <n v="48"/>
    <x v="27"/>
    <s v="Gialli"/>
    <s v="Verbano-Cusio-Ossola"/>
    <x v="4"/>
    <n v="934"/>
    <n v="2"/>
    <x v="2"/>
    <s v="VB"/>
  </r>
  <r>
    <n v="49"/>
    <x v="42"/>
    <s v="Verdi"/>
    <s v="Venezia"/>
    <x v="3"/>
    <n v="503"/>
    <n v="5"/>
    <x v="6"/>
    <s v="VE"/>
  </r>
  <r>
    <n v="50"/>
    <x v="2"/>
    <s v="Rossi"/>
    <s v="Viterbo"/>
    <x v="0"/>
    <n v="590"/>
    <n v="4"/>
    <x v="12"/>
    <s v="VT"/>
  </r>
  <r>
    <n v="51"/>
    <x v="43"/>
    <s v="Neri"/>
    <s v="Siena"/>
    <x v="2"/>
    <n v="1297"/>
    <n v="1"/>
    <x v="1"/>
    <s v="SI"/>
  </r>
  <r>
    <n v="52"/>
    <x v="7"/>
    <s v="Rossi"/>
    <s v="Terni"/>
    <x v="3"/>
    <n v="67"/>
    <n v="2"/>
    <x v="15"/>
    <s v="TR"/>
  </r>
  <r>
    <n v="53"/>
    <x v="44"/>
    <s v="Neri"/>
    <s v="Prato"/>
    <x v="0"/>
    <n v="1152"/>
    <n v="4"/>
    <x v="1"/>
    <s v="PO"/>
  </r>
  <r>
    <n v="54"/>
    <x v="45"/>
    <s v="Verdi"/>
    <s v="Pavia"/>
    <x v="3"/>
    <n v="401"/>
    <n v="2"/>
    <x v="7"/>
    <s v="PV"/>
  </r>
  <r>
    <n v="55"/>
    <x v="46"/>
    <s v="Rossi"/>
    <s v="Reggio di Calabria"/>
    <x v="0"/>
    <n v="596"/>
    <n v="3"/>
    <x v="14"/>
    <s v="RC"/>
  </r>
  <r>
    <n v="56"/>
    <x v="47"/>
    <s v="Azzurri"/>
    <s v="Prato"/>
    <x v="1"/>
    <n v="1724"/>
    <n v="4"/>
    <x v="1"/>
    <s v="PO"/>
  </r>
  <r>
    <n v="57"/>
    <x v="48"/>
    <s v="Gialli"/>
    <s v="Rimini"/>
    <x v="1"/>
    <n v="721"/>
    <n v="3"/>
    <x v="0"/>
    <s v="RN"/>
  </r>
  <r>
    <n v="58"/>
    <x v="49"/>
    <s v="Bianchi"/>
    <s v="Piacenza"/>
    <x v="2"/>
    <n v="939"/>
    <n v="3"/>
    <x v="0"/>
    <s v="PC"/>
  </r>
  <r>
    <n v="59"/>
    <x v="50"/>
    <s v="Rossi"/>
    <s v="Vercelli"/>
    <x v="4"/>
    <n v="443"/>
    <n v="5"/>
    <x v="2"/>
    <s v="VC"/>
  </r>
  <r>
    <n v="60"/>
    <x v="51"/>
    <s v="Bianchi"/>
    <s v="Reggio di Calabria"/>
    <x v="4"/>
    <n v="986"/>
    <n v="5"/>
    <x v="14"/>
    <s v="RC"/>
  </r>
  <r>
    <n v="61"/>
    <x v="52"/>
    <s v="Verdi"/>
    <s v="Reggio nell'Emilia"/>
    <x v="3"/>
    <n v="90"/>
    <n v="1"/>
    <x v="0"/>
    <s v="RE"/>
  </r>
  <r>
    <n v="62"/>
    <x v="24"/>
    <s v="Neri"/>
    <s v="Viterbo"/>
    <x v="3"/>
    <n v="32"/>
    <n v="5"/>
    <x v="12"/>
    <s v="VT"/>
  </r>
  <r>
    <n v="63"/>
    <x v="53"/>
    <s v="Neri"/>
    <s v="Treviso"/>
    <x v="4"/>
    <n v="968"/>
    <n v="1"/>
    <x v="6"/>
    <s v="TV"/>
  </r>
  <r>
    <n v="64"/>
    <x v="54"/>
    <s v="Azzurri"/>
    <s v="Sondrio"/>
    <x v="2"/>
    <n v="772"/>
    <n v="2"/>
    <x v="7"/>
    <s v="SO"/>
  </r>
  <r>
    <n v="65"/>
    <x v="55"/>
    <s v="Gialli"/>
    <s v="Trapani"/>
    <x v="1"/>
    <n v="1838"/>
    <n v="3"/>
    <x v="9"/>
    <s v="TP"/>
  </r>
  <r>
    <n v="66"/>
    <x v="21"/>
    <s v="Bianchi"/>
    <s v="Sondrio"/>
    <x v="4"/>
    <n v="191"/>
    <n v="1"/>
    <x v="7"/>
    <s v="SO"/>
  </r>
  <r>
    <n v="67"/>
    <x v="56"/>
    <s v="Neri"/>
    <s v="Verbano-Cusio-Ossola"/>
    <x v="2"/>
    <n v="1334"/>
    <n v="1"/>
    <x v="2"/>
    <s v="VB"/>
  </r>
  <r>
    <n v="68"/>
    <x v="57"/>
    <s v="Rossi"/>
    <s v="Torino"/>
    <x v="1"/>
    <n v="1707"/>
    <n v="4"/>
    <x v="2"/>
    <s v="TO"/>
  </r>
  <r>
    <n v="69"/>
    <x v="13"/>
    <s v="Rossi"/>
    <s v="Rimini"/>
    <x v="0"/>
    <n v="897"/>
    <n v="2"/>
    <x v="0"/>
    <s v="RN"/>
  </r>
  <r>
    <n v="70"/>
    <x v="58"/>
    <s v="Rossi"/>
    <s v="Teramo"/>
    <x v="1"/>
    <n v="816"/>
    <n v="1"/>
    <x v="16"/>
    <s v="TE"/>
  </r>
  <r>
    <n v="71"/>
    <x v="59"/>
    <s v="Bianchi"/>
    <s v="Vibo Valentia"/>
    <x v="0"/>
    <n v="1049"/>
    <n v="3"/>
    <x v="14"/>
    <s v="VV"/>
  </r>
  <r>
    <n v="72"/>
    <x v="60"/>
    <s v="Rossi"/>
    <s v="Perugia"/>
    <x v="0"/>
    <n v="1037"/>
    <n v="4"/>
    <x v="15"/>
    <s v="PG"/>
  </r>
  <r>
    <n v="73"/>
    <x v="6"/>
    <s v="Bianchi"/>
    <s v="Pordenone"/>
    <x v="4"/>
    <n v="1235"/>
    <n v="3"/>
    <x v="4"/>
    <s v="PN"/>
  </r>
  <r>
    <n v="74"/>
    <x v="17"/>
    <s v="Verdi"/>
    <s v="Udine"/>
    <x v="3"/>
    <n v="294"/>
    <n v="3"/>
    <x v="4"/>
    <s v="UD"/>
  </r>
  <r>
    <n v="75"/>
    <x v="61"/>
    <s v="Gialli"/>
    <s v="Varese"/>
    <x v="4"/>
    <n v="785"/>
    <n v="4"/>
    <x v="7"/>
    <s v="VA"/>
  </r>
  <r>
    <n v="76"/>
    <x v="25"/>
    <s v="Bianchi"/>
    <s v="Pesaro e Urbino"/>
    <x v="3"/>
    <n v="568"/>
    <n v="4"/>
    <x v="10"/>
    <s v="PS"/>
  </r>
  <r>
    <n v="77"/>
    <x v="62"/>
    <s v="Bianchi"/>
    <s v="Torino"/>
    <x v="2"/>
    <n v="1932"/>
    <n v="3"/>
    <x v="2"/>
    <s v="TO"/>
  </r>
  <r>
    <n v="78"/>
    <x v="62"/>
    <s v="Neri"/>
    <s v="Pistoia"/>
    <x v="1"/>
    <n v="1124"/>
    <n v="4"/>
    <x v="1"/>
    <s v="PT"/>
  </r>
  <r>
    <n v="79"/>
    <x v="63"/>
    <s v="Rossi"/>
    <s v="Sondrio"/>
    <x v="3"/>
    <n v="920"/>
    <n v="1"/>
    <x v="7"/>
    <s v="SO"/>
  </r>
  <r>
    <n v="80"/>
    <x v="64"/>
    <s v="Neri"/>
    <s v="Pavia"/>
    <x v="2"/>
    <n v="44"/>
    <n v="1"/>
    <x v="7"/>
    <s v="PV"/>
  </r>
  <r>
    <n v="81"/>
    <x v="16"/>
    <s v="Neri"/>
    <s v="Piacenza"/>
    <x v="2"/>
    <n v="1261"/>
    <n v="1"/>
    <x v="0"/>
    <s v="PC"/>
  </r>
  <r>
    <n v="82"/>
    <x v="65"/>
    <s v="Azzurri"/>
    <s v="Reggio nell'Emilia"/>
    <x v="3"/>
    <n v="1283"/>
    <n v="4"/>
    <x v="0"/>
    <s v="RE"/>
  </r>
  <r>
    <n v="83"/>
    <x v="46"/>
    <s v="Gialli"/>
    <s v="Roma"/>
    <x v="1"/>
    <n v="311"/>
    <n v="2"/>
    <x v="12"/>
    <s v="RM"/>
  </r>
  <r>
    <n v="84"/>
    <x v="35"/>
    <s v="Rossi"/>
    <s v="Siracusa"/>
    <x v="1"/>
    <n v="1164"/>
    <n v="5"/>
    <x v="9"/>
    <s v="SR"/>
  </r>
  <r>
    <n v="85"/>
    <x v="66"/>
    <s v="Verdi"/>
    <s v="Reggio di Calabria"/>
    <x v="0"/>
    <n v="1129"/>
    <n v="3"/>
    <x v="14"/>
    <s v="RC"/>
  </r>
  <r>
    <n v="86"/>
    <x v="67"/>
    <s v="Neri"/>
    <s v="Savona"/>
    <x v="0"/>
    <n v="1965"/>
    <n v="3"/>
    <x v="8"/>
    <s v="SV"/>
  </r>
  <r>
    <n v="87"/>
    <x v="68"/>
    <s v="Gialli"/>
    <s v="Verona"/>
    <x v="1"/>
    <n v="1812"/>
    <n v="3"/>
    <x v="6"/>
    <s v="VR"/>
  </r>
  <r>
    <n v="88"/>
    <x v="44"/>
    <s v="Rossi"/>
    <s v="Reggio nell'Emilia"/>
    <x v="3"/>
    <n v="1884"/>
    <n v="4"/>
    <x v="0"/>
    <s v="RE"/>
  </r>
  <r>
    <n v="89"/>
    <x v="47"/>
    <s v="Gialli"/>
    <s v="Salerno"/>
    <x v="2"/>
    <n v="1812"/>
    <n v="4"/>
    <x v="13"/>
    <s v="SA"/>
  </r>
  <r>
    <n v="90"/>
    <x v="69"/>
    <s v="Gialli"/>
    <s v="Pavia"/>
    <x v="2"/>
    <n v="76"/>
    <n v="3"/>
    <x v="7"/>
    <s v="PV"/>
  </r>
  <r>
    <n v="91"/>
    <x v="70"/>
    <s v="Verdi"/>
    <s v="Rieti"/>
    <x v="2"/>
    <n v="1827"/>
    <n v="3"/>
    <x v="12"/>
    <s v="RI"/>
  </r>
  <r>
    <n v="92"/>
    <x v="61"/>
    <s v="Rossi"/>
    <s v="Treviso"/>
    <x v="0"/>
    <n v="491"/>
    <n v="4"/>
    <x v="6"/>
    <s v="TV"/>
  </r>
  <r>
    <n v="93"/>
    <x v="71"/>
    <s v="Neri"/>
    <s v="Viterbo"/>
    <x v="2"/>
    <n v="1965"/>
    <n v="4"/>
    <x v="12"/>
    <s v="VT"/>
  </r>
  <r>
    <n v="94"/>
    <x v="54"/>
    <s v="Azzurri"/>
    <s v="Vibo Valentia"/>
    <x v="2"/>
    <n v="862"/>
    <n v="5"/>
    <x v="14"/>
    <s v="VV"/>
  </r>
  <r>
    <n v="95"/>
    <x v="72"/>
    <s v="Bianchi"/>
    <s v="Verona"/>
    <x v="4"/>
    <n v="403"/>
    <n v="3"/>
    <x v="6"/>
    <s v="VR"/>
  </r>
  <r>
    <n v="96"/>
    <x v="73"/>
    <s v="Rossi"/>
    <s v="Piacenza"/>
    <x v="0"/>
    <n v="217"/>
    <n v="1"/>
    <x v="0"/>
    <s v="PC"/>
  </r>
  <r>
    <n v="97"/>
    <x v="66"/>
    <s v="Verdi"/>
    <s v="Reggio di Calabria"/>
    <x v="3"/>
    <n v="1450"/>
    <n v="4"/>
    <x v="14"/>
    <s v="RC"/>
  </r>
  <r>
    <n v="98"/>
    <x v="74"/>
    <s v="Neri"/>
    <s v="Pescara"/>
    <x v="1"/>
    <n v="549"/>
    <n v="3"/>
    <x v="16"/>
    <s v="PE"/>
  </r>
  <r>
    <n v="99"/>
    <x v="55"/>
    <s v="Bianchi"/>
    <s v="Pisa"/>
    <x v="3"/>
    <n v="1829"/>
    <n v="5"/>
    <x v="1"/>
    <s v="PI"/>
  </r>
  <r>
    <n v="100"/>
    <x v="75"/>
    <s v="Gialli"/>
    <s v="Pistoia"/>
    <x v="1"/>
    <n v="411"/>
    <n v="1"/>
    <x v="1"/>
    <s v="PT"/>
  </r>
  <r>
    <n v="101"/>
    <x v="76"/>
    <s v="Azzurri"/>
    <s v="Terni"/>
    <x v="4"/>
    <n v="146"/>
    <n v="1"/>
    <x v="15"/>
    <s v="TR"/>
  </r>
  <r>
    <n v="102"/>
    <x v="13"/>
    <s v="Verdi"/>
    <s v="Salerno"/>
    <x v="0"/>
    <n v="1890"/>
    <n v="2"/>
    <x v="13"/>
    <s v="SA"/>
  </r>
  <r>
    <n v="103"/>
    <x v="77"/>
    <s v="Rossi"/>
    <s v="Ravenna"/>
    <x v="0"/>
    <n v="826"/>
    <n v="5"/>
    <x v="0"/>
    <s v="RA"/>
  </r>
  <r>
    <n v="104"/>
    <x v="37"/>
    <s v="Neri"/>
    <s v="Pordenone"/>
    <x v="1"/>
    <n v="1693"/>
    <n v="1"/>
    <x v="4"/>
    <s v="PN"/>
  </r>
  <r>
    <n v="105"/>
    <x v="78"/>
    <s v="Bianchi"/>
    <s v="Prato"/>
    <x v="0"/>
    <n v="1710"/>
    <n v="2"/>
    <x v="1"/>
    <s v="PO"/>
  </r>
  <r>
    <n v="106"/>
    <x v="71"/>
    <s v="Azzurri"/>
    <s v="Pescara"/>
    <x v="4"/>
    <n v="1921"/>
    <n v="5"/>
    <x v="16"/>
    <s v="PE"/>
  </r>
  <r>
    <n v="107"/>
    <x v="79"/>
    <s v="Azzurri"/>
    <s v="Ravenna"/>
    <x v="1"/>
    <n v="1427"/>
    <n v="4"/>
    <x v="0"/>
    <s v="RA"/>
  </r>
  <r>
    <n v="108"/>
    <x v="63"/>
    <s v="Gialli"/>
    <s v="Viterbo"/>
    <x v="0"/>
    <n v="1205"/>
    <n v="5"/>
    <x v="12"/>
    <s v="VT"/>
  </r>
  <r>
    <n v="109"/>
    <x v="69"/>
    <s v="Bianchi"/>
    <s v="Prato"/>
    <x v="4"/>
    <n v="1697"/>
    <n v="1"/>
    <x v="1"/>
    <s v="PO"/>
  </r>
  <r>
    <n v="110"/>
    <x v="80"/>
    <s v="Rossi"/>
    <s v="Verona"/>
    <x v="3"/>
    <n v="1576"/>
    <n v="5"/>
    <x v="6"/>
    <s v="VR"/>
  </r>
  <r>
    <n v="111"/>
    <x v="42"/>
    <s v="Gialli"/>
    <s v="Rimini"/>
    <x v="2"/>
    <n v="1520"/>
    <n v="5"/>
    <x v="0"/>
    <s v="RN"/>
  </r>
  <r>
    <n v="112"/>
    <x v="81"/>
    <s v="Azzurri"/>
    <s v="Terni"/>
    <x v="2"/>
    <n v="115"/>
    <n v="1"/>
    <x v="15"/>
    <s v="TR"/>
  </r>
  <r>
    <n v="113"/>
    <x v="70"/>
    <s v="Neri"/>
    <s v="Trapani"/>
    <x v="3"/>
    <n v="898"/>
    <n v="2"/>
    <x v="9"/>
    <s v="TP"/>
  </r>
  <r>
    <n v="114"/>
    <x v="29"/>
    <s v="Azzurri"/>
    <s v="Terni"/>
    <x v="3"/>
    <n v="1505"/>
    <n v="2"/>
    <x v="15"/>
    <s v="TR"/>
  </r>
  <r>
    <n v="115"/>
    <x v="74"/>
    <s v="Gialli"/>
    <s v="Trieste"/>
    <x v="2"/>
    <n v="977"/>
    <n v="5"/>
    <x v="4"/>
    <s v="TS"/>
  </r>
  <r>
    <n v="116"/>
    <x v="82"/>
    <s v="Bianchi"/>
    <s v="Rieti"/>
    <x v="2"/>
    <n v="724"/>
    <n v="1"/>
    <x v="12"/>
    <s v="RI"/>
  </r>
  <r>
    <n v="117"/>
    <x v="6"/>
    <s v="Neri"/>
    <s v="Pistoia"/>
    <x v="1"/>
    <n v="760"/>
    <n v="5"/>
    <x v="1"/>
    <s v="PT"/>
  </r>
  <r>
    <n v="118"/>
    <x v="83"/>
    <s v="Bianchi"/>
    <s v="Pavia"/>
    <x v="4"/>
    <n v="403"/>
    <n v="4"/>
    <x v="7"/>
    <s v="PV"/>
  </r>
  <r>
    <n v="119"/>
    <x v="84"/>
    <s v="Neri"/>
    <s v="Salerno"/>
    <x v="2"/>
    <n v="805"/>
    <n v="1"/>
    <x v="13"/>
    <s v="SA"/>
  </r>
  <r>
    <n v="120"/>
    <x v="58"/>
    <s v="Neri"/>
    <s v="Siena"/>
    <x v="4"/>
    <n v="1908"/>
    <n v="5"/>
    <x v="1"/>
    <s v="SI"/>
  </r>
  <r>
    <n v="121"/>
    <x v="72"/>
    <s v="Verdi"/>
    <s v="Salerno"/>
    <x v="0"/>
    <n v="913"/>
    <n v="3"/>
    <x v="13"/>
    <s v="SA"/>
  </r>
  <r>
    <n v="122"/>
    <x v="85"/>
    <s v="Azzurri"/>
    <s v="Vercelli"/>
    <x v="2"/>
    <n v="1977"/>
    <n v="2"/>
    <x v="2"/>
    <s v="VC"/>
  </r>
  <r>
    <n v="123"/>
    <x v="86"/>
    <s v="Rossi"/>
    <s v="Rimini"/>
    <x v="1"/>
    <n v="1018"/>
    <n v="2"/>
    <x v="0"/>
    <s v="RN"/>
  </r>
  <r>
    <n v="124"/>
    <x v="78"/>
    <s v="Gialli"/>
    <s v="Venezia"/>
    <x v="2"/>
    <n v="1658"/>
    <n v="2"/>
    <x v="6"/>
    <s v="VE"/>
  </r>
  <r>
    <n v="125"/>
    <x v="75"/>
    <s v="Azzurri"/>
    <s v="Prato"/>
    <x v="4"/>
    <n v="833"/>
    <n v="5"/>
    <x v="1"/>
    <s v="PO"/>
  </r>
  <r>
    <n v="126"/>
    <x v="87"/>
    <s v="Azzurri"/>
    <s v="Vicenza"/>
    <x v="0"/>
    <n v="718"/>
    <n v="5"/>
    <x v="6"/>
    <s v="VI"/>
  </r>
  <r>
    <n v="127"/>
    <x v="88"/>
    <s v="Azzurri"/>
    <s v="Verbano-Cusio-Ossola"/>
    <x v="0"/>
    <n v="515"/>
    <n v="3"/>
    <x v="2"/>
    <s v="VB"/>
  </r>
  <r>
    <n v="128"/>
    <x v="62"/>
    <s v="Verdi"/>
    <s v="Viterbo"/>
    <x v="4"/>
    <n v="259"/>
    <n v="3"/>
    <x v="12"/>
    <s v="VT"/>
  </r>
  <r>
    <n v="129"/>
    <x v="89"/>
    <s v="Azzurri"/>
    <s v="Prato"/>
    <x v="2"/>
    <n v="660"/>
    <n v="4"/>
    <x v="1"/>
    <s v="PO"/>
  </r>
  <r>
    <n v="130"/>
    <x v="90"/>
    <s v="Rossi"/>
    <s v="Udine"/>
    <x v="3"/>
    <n v="31"/>
    <n v="2"/>
    <x v="4"/>
    <s v="UD"/>
  </r>
  <r>
    <n v="131"/>
    <x v="91"/>
    <s v="Bianchi"/>
    <s v="Venezia"/>
    <x v="4"/>
    <n v="1889"/>
    <n v="4"/>
    <x v="6"/>
    <s v="VE"/>
  </r>
  <r>
    <n v="132"/>
    <x v="31"/>
    <s v="Azzurri"/>
    <s v="Roma"/>
    <x v="3"/>
    <n v="1163"/>
    <n v="1"/>
    <x v="12"/>
    <s v="RM"/>
  </r>
  <r>
    <n v="133"/>
    <x v="27"/>
    <s v="Gialli"/>
    <s v="Rimini"/>
    <x v="0"/>
    <n v="1896"/>
    <n v="1"/>
    <x v="0"/>
    <s v="RN"/>
  </r>
  <r>
    <n v="134"/>
    <x v="80"/>
    <s v="Bianchi"/>
    <s v="Viterbo"/>
    <x v="2"/>
    <n v="175"/>
    <n v="1"/>
    <x v="12"/>
    <s v="VT"/>
  </r>
  <r>
    <n v="135"/>
    <x v="2"/>
    <s v="Azzurri"/>
    <s v="Udine"/>
    <x v="1"/>
    <n v="806"/>
    <n v="5"/>
    <x v="4"/>
    <s v="UD"/>
  </r>
  <r>
    <n v="136"/>
    <x v="92"/>
    <s v="Rossi"/>
    <s v="Perugia"/>
    <x v="2"/>
    <n v="992"/>
    <n v="3"/>
    <x v="15"/>
    <s v="PG"/>
  </r>
  <r>
    <n v="137"/>
    <x v="93"/>
    <s v="Verdi"/>
    <s v="Verona"/>
    <x v="3"/>
    <n v="885"/>
    <n v="2"/>
    <x v="6"/>
    <s v="VR"/>
  </r>
  <r>
    <n v="138"/>
    <x v="44"/>
    <s v="Bianchi"/>
    <s v="Taranto"/>
    <x v="1"/>
    <n v="502"/>
    <n v="2"/>
    <x v="17"/>
    <s v="TA"/>
  </r>
  <r>
    <n v="139"/>
    <x v="47"/>
    <s v="Neri"/>
    <s v="Salerno"/>
    <x v="4"/>
    <n v="71"/>
    <n v="3"/>
    <x v="13"/>
    <s v="SA"/>
  </r>
  <r>
    <n v="140"/>
    <x v="73"/>
    <s v="Verdi"/>
    <s v="Sondrio"/>
    <x v="0"/>
    <n v="411"/>
    <n v="4"/>
    <x v="7"/>
    <s v="SO"/>
  </r>
  <r>
    <n v="141"/>
    <x v="94"/>
    <s v="Bianchi"/>
    <s v="Sassari"/>
    <x v="0"/>
    <n v="1343"/>
    <n v="2"/>
    <x v="3"/>
    <s v="SS"/>
  </r>
  <r>
    <n v="142"/>
    <x v="95"/>
    <s v="Bianchi"/>
    <s v="Teramo"/>
    <x v="0"/>
    <n v="1052"/>
    <n v="4"/>
    <x v="16"/>
    <s v="TE"/>
  </r>
  <r>
    <n v="143"/>
    <x v="96"/>
    <s v="Neri"/>
    <s v="Vicenza"/>
    <x v="1"/>
    <n v="993"/>
    <n v="4"/>
    <x v="6"/>
    <s v="VI"/>
  </r>
  <r>
    <n v="144"/>
    <x v="21"/>
    <s v="Azzurri"/>
    <s v="Verona"/>
    <x v="3"/>
    <n v="1404"/>
    <n v="3"/>
    <x v="6"/>
    <s v="VR"/>
  </r>
  <r>
    <n v="145"/>
    <x v="70"/>
    <s v="Verdi"/>
    <s v="Roma"/>
    <x v="1"/>
    <n v="436"/>
    <n v="1"/>
    <x v="12"/>
    <s v="RM"/>
  </r>
  <r>
    <n v="146"/>
    <x v="5"/>
    <s v="Verdi"/>
    <s v="Trieste"/>
    <x v="3"/>
    <n v="771"/>
    <n v="2"/>
    <x v="4"/>
    <s v="TS"/>
  </r>
  <r>
    <n v="147"/>
    <x v="60"/>
    <s v="Gialli"/>
    <s v="Pordenone"/>
    <x v="0"/>
    <n v="503"/>
    <n v="5"/>
    <x v="4"/>
    <s v="PN"/>
  </r>
  <r>
    <n v="148"/>
    <x v="97"/>
    <s v="Bianchi"/>
    <s v="Reggio nell'Emilia"/>
    <x v="1"/>
    <n v="1906"/>
    <n v="1"/>
    <x v="0"/>
    <s v="RE"/>
  </r>
  <r>
    <n v="149"/>
    <x v="41"/>
    <s v="Verdi"/>
    <s v="Trapani"/>
    <x v="1"/>
    <n v="1213"/>
    <n v="3"/>
    <x v="9"/>
    <s v="TP"/>
  </r>
  <r>
    <n v="150"/>
    <x v="44"/>
    <s v="Azzurri"/>
    <s v="Siena"/>
    <x v="0"/>
    <n v="1215"/>
    <n v="2"/>
    <x v="1"/>
    <s v="SI"/>
  </r>
  <r>
    <n v="151"/>
    <x v="92"/>
    <s v="Bianchi"/>
    <s v="Verona"/>
    <x v="2"/>
    <n v="1186"/>
    <n v="1"/>
    <x v="6"/>
    <s v="VR"/>
  </r>
  <r>
    <n v="152"/>
    <x v="82"/>
    <s v="Neri"/>
    <s v="Ragusa"/>
    <x v="1"/>
    <n v="1616"/>
    <n v="2"/>
    <x v="9"/>
    <s v="RG"/>
  </r>
  <r>
    <n v="153"/>
    <x v="18"/>
    <s v="Bianchi"/>
    <s v="Sondrio"/>
    <x v="3"/>
    <n v="1614"/>
    <n v="3"/>
    <x v="7"/>
    <s v="SO"/>
  </r>
  <r>
    <n v="154"/>
    <x v="98"/>
    <s v="Gialli"/>
    <s v="Savona"/>
    <x v="1"/>
    <n v="744"/>
    <n v="5"/>
    <x v="8"/>
    <s v="SV"/>
  </r>
  <r>
    <n v="155"/>
    <x v="60"/>
    <s v="Bianchi"/>
    <s v="Varese"/>
    <x v="2"/>
    <n v="1277"/>
    <n v="1"/>
    <x v="7"/>
    <s v="VA"/>
  </r>
  <r>
    <n v="156"/>
    <x v="22"/>
    <s v="Gialli"/>
    <s v="Ragusa"/>
    <x v="3"/>
    <n v="1520"/>
    <n v="3"/>
    <x v="9"/>
    <s v="RG"/>
  </r>
  <r>
    <n v="157"/>
    <x v="99"/>
    <s v="Bianchi"/>
    <s v="Treviso"/>
    <x v="3"/>
    <n v="254"/>
    <n v="2"/>
    <x v="6"/>
    <s v="TV"/>
  </r>
  <r>
    <n v="158"/>
    <x v="100"/>
    <s v="Neri"/>
    <s v="Salerno"/>
    <x v="4"/>
    <n v="253"/>
    <n v="3"/>
    <x v="13"/>
    <s v="SA"/>
  </r>
  <r>
    <n v="159"/>
    <x v="90"/>
    <s v="Rossi"/>
    <s v="Pistoia"/>
    <x v="4"/>
    <n v="1802"/>
    <n v="3"/>
    <x v="1"/>
    <s v="PT"/>
  </r>
  <r>
    <n v="160"/>
    <x v="74"/>
    <s v="Verdi"/>
    <s v="Vercelli"/>
    <x v="0"/>
    <n v="580"/>
    <n v="5"/>
    <x v="2"/>
    <s v="VC"/>
  </r>
  <r>
    <n v="161"/>
    <x v="75"/>
    <s v="Neri"/>
    <s v="Pordenone"/>
    <x v="3"/>
    <n v="938"/>
    <n v="5"/>
    <x v="4"/>
    <s v="PN"/>
  </r>
  <r>
    <n v="162"/>
    <x v="101"/>
    <s v="Gialli"/>
    <s v="Piacenza"/>
    <x v="1"/>
    <n v="1390"/>
    <n v="4"/>
    <x v="0"/>
    <s v="PC"/>
  </r>
  <r>
    <n v="163"/>
    <x v="102"/>
    <s v="Azzurri"/>
    <s v="Reggio di Calabria"/>
    <x v="1"/>
    <n v="1315"/>
    <n v="2"/>
    <x v="14"/>
    <s v="RC"/>
  </r>
  <r>
    <n v="164"/>
    <x v="92"/>
    <s v="Gialli"/>
    <s v="Savona"/>
    <x v="0"/>
    <n v="1670"/>
    <n v="3"/>
    <x v="8"/>
    <s v="SV"/>
  </r>
  <r>
    <n v="165"/>
    <x v="103"/>
    <s v="Gialli"/>
    <s v="Varese"/>
    <x v="3"/>
    <n v="1691"/>
    <n v="3"/>
    <x v="7"/>
    <s v="VA"/>
  </r>
  <r>
    <n v="166"/>
    <x v="5"/>
    <s v="Neri"/>
    <s v="Rimini"/>
    <x v="1"/>
    <n v="1313"/>
    <n v="3"/>
    <x v="0"/>
    <s v="RN"/>
  </r>
  <r>
    <n v="167"/>
    <x v="104"/>
    <s v="Rossi"/>
    <s v="Pordenone"/>
    <x v="1"/>
    <n v="789"/>
    <n v="4"/>
    <x v="4"/>
    <s v="PN"/>
  </r>
  <r>
    <n v="168"/>
    <x v="56"/>
    <s v="Gialli"/>
    <s v="Teramo"/>
    <x v="0"/>
    <n v="135"/>
    <n v="5"/>
    <x v="16"/>
    <s v="TE"/>
  </r>
  <r>
    <n v="169"/>
    <x v="105"/>
    <s v="Bianchi"/>
    <s v="Siracusa"/>
    <x v="2"/>
    <n v="1583"/>
    <n v="5"/>
    <x v="9"/>
    <s v="SR"/>
  </r>
  <r>
    <n v="170"/>
    <x v="106"/>
    <s v="Verdi"/>
    <s v="Varese"/>
    <x v="2"/>
    <n v="1857"/>
    <n v="1"/>
    <x v="7"/>
    <s v="VA"/>
  </r>
  <r>
    <n v="171"/>
    <x v="5"/>
    <s v="Neri"/>
    <s v="Trieste"/>
    <x v="1"/>
    <n v="1655"/>
    <n v="3"/>
    <x v="4"/>
    <s v="TS"/>
  </r>
  <r>
    <n v="172"/>
    <x v="12"/>
    <s v="Gialli"/>
    <s v="Verona"/>
    <x v="3"/>
    <n v="727"/>
    <n v="3"/>
    <x v="6"/>
    <s v="VR"/>
  </r>
  <r>
    <n v="173"/>
    <x v="107"/>
    <s v="Gialli"/>
    <s v="Pesaro e Urbino"/>
    <x v="3"/>
    <n v="1637"/>
    <n v="3"/>
    <x v="10"/>
    <s v="PS"/>
  </r>
  <r>
    <n v="174"/>
    <x v="47"/>
    <s v="Verdi"/>
    <s v="Piacenza"/>
    <x v="1"/>
    <n v="456"/>
    <n v="5"/>
    <x v="0"/>
    <s v="PC"/>
  </r>
  <r>
    <n v="175"/>
    <x v="108"/>
    <s v="Verdi"/>
    <s v="Treviso"/>
    <x v="3"/>
    <n v="1109"/>
    <n v="5"/>
    <x v="6"/>
    <s v="TV"/>
  </r>
  <r>
    <n v="176"/>
    <x v="70"/>
    <s v="Rossi"/>
    <s v="Prato"/>
    <x v="3"/>
    <n v="1593"/>
    <n v="4"/>
    <x v="1"/>
    <s v="PO"/>
  </r>
  <r>
    <n v="177"/>
    <x v="26"/>
    <s v="Gialli"/>
    <s v="Rovigo"/>
    <x v="3"/>
    <n v="686"/>
    <n v="1"/>
    <x v="6"/>
    <s v="RO"/>
  </r>
  <r>
    <n v="178"/>
    <x v="102"/>
    <s v="Azzurri"/>
    <s v="Siena"/>
    <x v="0"/>
    <n v="155"/>
    <n v="4"/>
    <x v="1"/>
    <s v="SI"/>
  </r>
  <r>
    <n v="179"/>
    <x v="109"/>
    <s v="Bianchi"/>
    <s v="Siracusa"/>
    <x v="2"/>
    <n v="686"/>
    <n v="2"/>
    <x v="9"/>
    <s v="SR"/>
  </r>
  <r>
    <n v="180"/>
    <x v="66"/>
    <s v="Bianchi"/>
    <s v="Potenza"/>
    <x v="2"/>
    <n v="450"/>
    <n v="1"/>
    <x v="5"/>
    <s v="PZ"/>
  </r>
  <r>
    <n v="181"/>
    <x v="49"/>
    <s v="Neri"/>
    <s v="Torino"/>
    <x v="3"/>
    <n v="478"/>
    <n v="4"/>
    <x v="2"/>
    <s v="TO"/>
  </r>
  <r>
    <n v="182"/>
    <x v="110"/>
    <s v="Azzurri"/>
    <s v="Sassari"/>
    <x v="3"/>
    <n v="939"/>
    <n v="5"/>
    <x v="3"/>
    <s v="SS"/>
  </r>
  <r>
    <n v="183"/>
    <x v="77"/>
    <s v="Gialli"/>
    <s v="Reggio di Calabria"/>
    <x v="2"/>
    <n v="1608"/>
    <n v="2"/>
    <x v="14"/>
    <s v="RC"/>
  </r>
  <r>
    <n v="184"/>
    <x v="73"/>
    <s v="Azzurri"/>
    <s v="Varese"/>
    <x v="0"/>
    <n v="1791"/>
    <n v="2"/>
    <x v="7"/>
    <s v="VA"/>
  </r>
  <r>
    <n v="185"/>
    <x v="111"/>
    <s v="Verdi"/>
    <s v="Vercelli"/>
    <x v="3"/>
    <n v="371"/>
    <n v="2"/>
    <x v="2"/>
    <s v="VC"/>
  </r>
  <r>
    <n v="186"/>
    <x v="112"/>
    <s v="Rossi"/>
    <s v="Reggio di Calabria"/>
    <x v="3"/>
    <n v="1407"/>
    <n v="1"/>
    <x v="14"/>
    <s v="RC"/>
  </r>
  <r>
    <n v="187"/>
    <x v="22"/>
    <s v="Gialli"/>
    <s v="Vercelli"/>
    <x v="0"/>
    <n v="1909"/>
    <n v="4"/>
    <x v="2"/>
    <s v="VC"/>
  </r>
  <r>
    <n v="188"/>
    <x v="89"/>
    <s v="Verdi"/>
    <s v="Perugia"/>
    <x v="4"/>
    <n v="1715"/>
    <n v="2"/>
    <x v="15"/>
    <s v="PG"/>
  </r>
  <r>
    <n v="189"/>
    <x v="67"/>
    <s v="Gialli"/>
    <s v="Vibo Valentia"/>
    <x v="3"/>
    <n v="1145"/>
    <n v="2"/>
    <x v="14"/>
    <s v="VV"/>
  </r>
  <r>
    <n v="190"/>
    <x v="113"/>
    <s v="Gialli"/>
    <s v="Potenza"/>
    <x v="3"/>
    <n v="925"/>
    <n v="3"/>
    <x v="5"/>
    <s v="PZ"/>
  </r>
  <r>
    <n v="191"/>
    <x v="114"/>
    <s v="Rossi"/>
    <s v="Verbano-Cusio-Ossola"/>
    <x v="0"/>
    <n v="547"/>
    <n v="5"/>
    <x v="2"/>
    <s v="VB"/>
  </r>
  <r>
    <n v="192"/>
    <x v="115"/>
    <s v="Bianchi"/>
    <s v="Terni"/>
    <x v="4"/>
    <n v="1961"/>
    <n v="5"/>
    <x v="15"/>
    <s v="TR"/>
  </r>
  <r>
    <n v="193"/>
    <x v="18"/>
    <s v="Gialli"/>
    <s v="Trieste"/>
    <x v="2"/>
    <n v="184"/>
    <n v="5"/>
    <x v="4"/>
    <s v="TS"/>
  </r>
  <r>
    <n v="194"/>
    <x v="55"/>
    <s v="Gialli"/>
    <s v="Ragusa"/>
    <x v="0"/>
    <n v="163"/>
    <n v="1"/>
    <x v="9"/>
    <s v="RG"/>
  </r>
  <r>
    <n v="195"/>
    <x v="52"/>
    <s v="Rossi"/>
    <s v="Rieti"/>
    <x v="2"/>
    <n v="484"/>
    <n v="4"/>
    <x v="12"/>
    <s v="RI"/>
  </r>
  <r>
    <n v="196"/>
    <x v="116"/>
    <s v="Rossi"/>
    <s v="Pescara"/>
    <x v="3"/>
    <n v="792"/>
    <n v="2"/>
    <x v="16"/>
    <s v="PE"/>
  </r>
  <r>
    <n v="197"/>
    <x v="67"/>
    <s v="Neri"/>
    <s v="Savona"/>
    <x v="2"/>
    <n v="24"/>
    <n v="5"/>
    <x v="8"/>
    <s v="SV"/>
  </r>
  <r>
    <n v="198"/>
    <x v="117"/>
    <s v="Gialli"/>
    <s v="Verbano-Cusio-Ossola"/>
    <x v="2"/>
    <n v="705"/>
    <n v="3"/>
    <x v="2"/>
    <s v="VB"/>
  </r>
  <r>
    <n v="199"/>
    <x v="118"/>
    <s v="Verdi"/>
    <s v="Sondrio"/>
    <x v="0"/>
    <n v="1288"/>
    <n v="1"/>
    <x v="7"/>
    <s v="SO"/>
  </r>
  <r>
    <n v="200"/>
    <x v="119"/>
    <s v="Bianchi"/>
    <s v="Reggio nell'Emilia"/>
    <x v="4"/>
    <n v="956"/>
    <n v="2"/>
    <x v="0"/>
    <s v="RE"/>
  </r>
  <r>
    <n v="201"/>
    <x v="92"/>
    <s v="Azzurri"/>
    <s v="Venezia"/>
    <x v="2"/>
    <n v="1770"/>
    <n v="4"/>
    <x v="6"/>
    <s v="VE"/>
  </r>
  <r>
    <n v="202"/>
    <x v="44"/>
    <s v="Rossi"/>
    <s v="Savona"/>
    <x v="3"/>
    <n v="1449"/>
    <n v="4"/>
    <x v="8"/>
    <s v="SV"/>
  </r>
  <r>
    <n v="203"/>
    <x v="120"/>
    <s v="Neri"/>
    <s v="Verona"/>
    <x v="4"/>
    <n v="1300"/>
    <n v="1"/>
    <x v="6"/>
    <s v="VR"/>
  </r>
  <r>
    <n v="204"/>
    <x v="7"/>
    <s v="Neri"/>
    <s v="Pisa"/>
    <x v="2"/>
    <n v="1909"/>
    <n v="1"/>
    <x v="1"/>
    <s v="PI"/>
  </r>
  <r>
    <n v="205"/>
    <x v="56"/>
    <s v="Rossi"/>
    <s v="Savona"/>
    <x v="2"/>
    <n v="1006"/>
    <n v="3"/>
    <x v="8"/>
    <s v="SV"/>
  </r>
  <r>
    <n v="206"/>
    <x v="54"/>
    <s v="Bianchi"/>
    <s v="Trento"/>
    <x v="3"/>
    <n v="715"/>
    <n v="3"/>
    <x v="11"/>
    <s v="TN"/>
  </r>
  <r>
    <n v="207"/>
    <x v="46"/>
    <s v="Azzurri"/>
    <s v="Trapani"/>
    <x v="3"/>
    <n v="296"/>
    <n v="2"/>
    <x v="9"/>
    <s v="TP"/>
  </r>
  <r>
    <n v="208"/>
    <x v="59"/>
    <s v="Neri"/>
    <s v="Rimini"/>
    <x v="4"/>
    <n v="1079"/>
    <n v="2"/>
    <x v="0"/>
    <s v="RN"/>
  </r>
  <r>
    <n v="209"/>
    <x v="30"/>
    <s v="Azzurri"/>
    <s v="Rieti"/>
    <x v="4"/>
    <n v="222"/>
    <n v="5"/>
    <x v="12"/>
    <s v="RI"/>
  </r>
  <r>
    <n v="210"/>
    <x v="71"/>
    <s v="Neri"/>
    <s v="Treviso"/>
    <x v="4"/>
    <n v="1433"/>
    <n v="5"/>
    <x v="6"/>
    <s v="TV"/>
  </r>
  <r>
    <n v="211"/>
    <x v="121"/>
    <s v="Rossi"/>
    <s v="Vicenza"/>
    <x v="0"/>
    <n v="1052"/>
    <n v="3"/>
    <x v="6"/>
    <s v="VI"/>
  </r>
  <r>
    <n v="212"/>
    <x v="122"/>
    <s v="Neri"/>
    <s v="Pisa"/>
    <x v="3"/>
    <n v="1917"/>
    <n v="3"/>
    <x v="1"/>
    <s v="PI"/>
  </r>
  <r>
    <n v="213"/>
    <x v="123"/>
    <s v="Verdi"/>
    <s v="Terni"/>
    <x v="1"/>
    <n v="1973"/>
    <n v="1"/>
    <x v="15"/>
    <s v="TR"/>
  </r>
  <r>
    <n v="214"/>
    <x v="8"/>
    <s v="Verdi"/>
    <s v="Teramo"/>
    <x v="0"/>
    <n v="10"/>
    <n v="1"/>
    <x v="16"/>
    <s v="TE"/>
  </r>
  <r>
    <n v="215"/>
    <x v="43"/>
    <s v="Verdi"/>
    <s v="Trieste"/>
    <x v="2"/>
    <n v="328"/>
    <n v="1"/>
    <x v="4"/>
    <s v="TS"/>
  </r>
  <r>
    <n v="216"/>
    <x v="43"/>
    <s v="Gialli"/>
    <s v="Savona"/>
    <x v="0"/>
    <n v="1425"/>
    <n v="4"/>
    <x v="8"/>
    <s v="SV"/>
  </r>
  <r>
    <n v="217"/>
    <x v="81"/>
    <s v="Bianchi"/>
    <s v="Perugia"/>
    <x v="1"/>
    <n v="833"/>
    <n v="2"/>
    <x v="15"/>
    <s v="PG"/>
  </r>
  <r>
    <n v="218"/>
    <x v="73"/>
    <s v="Verdi"/>
    <s v="Salerno"/>
    <x v="0"/>
    <n v="1656"/>
    <n v="5"/>
    <x v="13"/>
    <s v="SA"/>
  </r>
  <r>
    <n v="219"/>
    <x v="95"/>
    <s v="Azzurri"/>
    <s v="Terni"/>
    <x v="4"/>
    <n v="1792"/>
    <n v="4"/>
    <x v="15"/>
    <s v="TR"/>
  </r>
  <r>
    <n v="220"/>
    <x v="12"/>
    <s v="Rossi"/>
    <s v="Reggio di Calabria"/>
    <x v="4"/>
    <n v="454"/>
    <n v="1"/>
    <x v="14"/>
    <s v="RC"/>
  </r>
  <r>
    <n v="221"/>
    <x v="78"/>
    <s v="Azzurri"/>
    <s v="Savona"/>
    <x v="1"/>
    <n v="1337"/>
    <n v="2"/>
    <x v="8"/>
    <s v="SV"/>
  </r>
  <r>
    <n v="222"/>
    <x v="124"/>
    <s v="Rossi"/>
    <s v="Perugia"/>
    <x v="2"/>
    <n v="986"/>
    <n v="4"/>
    <x v="15"/>
    <s v="PG"/>
  </r>
  <r>
    <n v="223"/>
    <x v="111"/>
    <s v="Bianchi"/>
    <s v="Varese"/>
    <x v="0"/>
    <n v="348"/>
    <n v="2"/>
    <x v="7"/>
    <s v="VA"/>
  </r>
  <r>
    <n v="224"/>
    <x v="125"/>
    <s v="Verdi"/>
    <s v="Trento"/>
    <x v="3"/>
    <n v="582"/>
    <n v="3"/>
    <x v="11"/>
    <s v="TN"/>
  </r>
  <r>
    <n v="225"/>
    <x v="57"/>
    <s v="Rossi"/>
    <s v="Potenza"/>
    <x v="2"/>
    <n v="634"/>
    <n v="2"/>
    <x v="5"/>
    <s v="PZ"/>
  </r>
  <r>
    <n v="226"/>
    <x v="68"/>
    <s v="Azzurri"/>
    <s v="Sassari"/>
    <x v="3"/>
    <n v="282"/>
    <n v="3"/>
    <x v="3"/>
    <s v="SS"/>
  </r>
  <r>
    <n v="227"/>
    <x v="86"/>
    <s v="Bianchi"/>
    <s v="Pisa"/>
    <x v="2"/>
    <n v="481"/>
    <n v="4"/>
    <x v="1"/>
    <s v="PI"/>
  </r>
  <r>
    <n v="228"/>
    <x v="97"/>
    <s v="Azzurri"/>
    <s v="Rovigo"/>
    <x v="4"/>
    <n v="1441"/>
    <n v="5"/>
    <x v="6"/>
    <s v="RO"/>
  </r>
  <r>
    <n v="229"/>
    <x v="49"/>
    <s v="Bianchi"/>
    <s v="Savona"/>
    <x v="4"/>
    <n v="808"/>
    <n v="4"/>
    <x v="8"/>
    <s v="SV"/>
  </r>
  <r>
    <n v="230"/>
    <x v="99"/>
    <s v="Bianchi"/>
    <s v="Venezia"/>
    <x v="1"/>
    <n v="1874"/>
    <n v="5"/>
    <x v="6"/>
    <s v="VE"/>
  </r>
  <r>
    <n v="231"/>
    <x v="39"/>
    <s v="Verdi"/>
    <s v="Potenza"/>
    <x v="0"/>
    <n v="965"/>
    <n v="1"/>
    <x v="5"/>
    <s v="PZ"/>
  </r>
  <r>
    <n v="232"/>
    <x v="50"/>
    <s v="Verdi"/>
    <s v="Ravenna"/>
    <x v="3"/>
    <n v="93"/>
    <n v="1"/>
    <x v="0"/>
    <s v="RA"/>
  </r>
  <r>
    <n v="233"/>
    <x v="65"/>
    <s v="Azzurri"/>
    <s v="Trento"/>
    <x v="4"/>
    <n v="1774"/>
    <n v="3"/>
    <x v="11"/>
    <s v="TN"/>
  </r>
  <r>
    <n v="234"/>
    <x v="90"/>
    <s v="Verdi"/>
    <s v="Torino"/>
    <x v="2"/>
    <n v="217"/>
    <n v="5"/>
    <x v="2"/>
    <s v="TO"/>
  </r>
  <r>
    <n v="235"/>
    <x v="29"/>
    <s v="Rossi"/>
    <s v="Vercelli"/>
    <x v="3"/>
    <n v="737"/>
    <n v="3"/>
    <x v="2"/>
    <s v="VC"/>
  </r>
  <r>
    <n v="236"/>
    <x v="126"/>
    <s v="Verdi"/>
    <s v="Verona"/>
    <x v="2"/>
    <n v="1154"/>
    <n v="1"/>
    <x v="6"/>
    <s v="VR"/>
  </r>
  <r>
    <n v="237"/>
    <x v="117"/>
    <s v="Rossi"/>
    <s v="Taranto"/>
    <x v="1"/>
    <n v="891"/>
    <n v="3"/>
    <x v="17"/>
    <s v="TA"/>
  </r>
  <r>
    <n v="238"/>
    <x v="8"/>
    <s v="Neri"/>
    <s v="Piacenza"/>
    <x v="0"/>
    <n v="1130"/>
    <n v="2"/>
    <x v="0"/>
    <s v="PC"/>
  </r>
  <r>
    <n v="239"/>
    <x v="92"/>
    <s v="Azzurri"/>
    <s v="Trento"/>
    <x v="1"/>
    <n v="317"/>
    <n v="4"/>
    <x v="11"/>
    <s v="TN"/>
  </r>
  <r>
    <n v="240"/>
    <x v="91"/>
    <s v="Azzurri"/>
    <s v="Piacenza"/>
    <x v="2"/>
    <n v="1663"/>
    <n v="5"/>
    <x v="0"/>
    <s v="PC"/>
  </r>
  <r>
    <n v="241"/>
    <x v="23"/>
    <s v="Gialli"/>
    <s v="Vercelli"/>
    <x v="4"/>
    <n v="107"/>
    <n v="1"/>
    <x v="2"/>
    <s v="VC"/>
  </r>
  <r>
    <n v="242"/>
    <x v="90"/>
    <s v="Gialli"/>
    <s v="Udine"/>
    <x v="4"/>
    <n v="1430"/>
    <n v="2"/>
    <x v="4"/>
    <s v="UD"/>
  </r>
  <r>
    <n v="243"/>
    <x v="127"/>
    <s v="Rossi"/>
    <s v="Pordenone"/>
    <x v="0"/>
    <n v="298"/>
    <n v="1"/>
    <x v="4"/>
    <s v="PN"/>
  </r>
  <r>
    <n v="244"/>
    <x v="113"/>
    <s v="Azzurri"/>
    <s v="Reggio di Calabria"/>
    <x v="4"/>
    <n v="1557"/>
    <n v="3"/>
    <x v="14"/>
    <s v="RC"/>
  </r>
  <r>
    <n v="245"/>
    <x v="126"/>
    <s v="Neri"/>
    <s v="Pavia"/>
    <x v="4"/>
    <n v="477"/>
    <n v="3"/>
    <x v="7"/>
    <s v="PV"/>
  </r>
  <r>
    <n v="246"/>
    <x v="76"/>
    <s v="Rossi"/>
    <s v="Piacenza"/>
    <x v="3"/>
    <n v="1593"/>
    <n v="3"/>
    <x v="0"/>
    <s v="PC"/>
  </r>
  <r>
    <n v="247"/>
    <x v="125"/>
    <s v="Verdi"/>
    <s v="Verbano-Cusio-Ossola"/>
    <x v="2"/>
    <n v="534"/>
    <n v="5"/>
    <x v="2"/>
    <s v="VB"/>
  </r>
  <r>
    <n v="248"/>
    <x v="21"/>
    <s v="Neri"/>
    <s v="Rovigo"/>
    <x v="2"/>
    <n v="1615"/>
    <n v="5"/>
    <x v="6"/>
    <s v="RO"/>
  </r>
  <r>
    <n v="249"/>
    <x v="115"/>
    <s v="Verdi"/>
    <s v="Pisa"/>
    <x v="2"/>
    <n v="416"/>
    <n v="3"/>
    <x v="1"/>
    <s v="PI"/>
  </r>
  <r>
    <n v="250"/>
    <x v="115"/>
    <s v="Rossi"/>
    <s v="Venezia"/>
    <x v="4"/>
    <n v="201"/>
    <n v="4"/>
    <x v="6"/>
    <s v="VE"/>
  </r>
  <r>
    <n v="251"/>
    <x v="103"/>
    <s v="Gialli"/>
    <s v="Pordenone"/>
    <x v="4"/>
    <n v="95"/>
    <n v="3"/>
    <x v="4"/>
    <s v="PN"/>
  </r>
  <r>
    <n v="252"/>
    <x v="128"/>
    <s v="Verdi"/>
    <s v="Vicenza"/>
    <x v="1"/>
    <n v="1762"/>
    <n v="3"/>
    <x v="6"/>
    <s v="VI"/>
  </r>
  <r>
    <n v="253"/>
    <x v="129"/>
    <s v="Gialli"/>
    <s v="Siracusa"/>
    <x v="1"/>
    <n v="222"/>
    <n v="4"/>
    <x v="9"/>
    <s v="SR"/>
  </r>
  <r>
    <n v="254"/>
    <x v="130"/>
    <s v="Rossi"/>
    <s v="Siracusa"/>
    <x v="2"/>
    <n v="1701"/>
    <n v="3"/>
    <x v="9"/>
    <s v="SR"/>
  </r>
  <r>
    <n v="255"/>
    <x v="120"/>
    <s v="Rossi"/>
    <s v="Reggio nell'Emilia"/>
    <x v="3"/>
    <n v="1517"/>
    <n v="1"/>
    <x v="0"/>
    <s v="RE"/>
  </r>
  <r>
    <n v="256"/>
    <x v="131"/>
    <s v="Verdi"/>
    <s v="Pesaro e Urbino"/>
    <x v="0"/>
    <n v="1596"/>
    <n v="1"/>
    <x v="10"/>
    <s v="PS"/>
  </r>
  <r>
    <n v="257"/>
    <x v="132"/>
    <s v="Gialli"/>
    <s v="Rieti"/>
    <x v="4"/>
    <n v="1048"/>
    <n v="5"/>
    <x v="12"/>
    <s v="RI"/>
  </r>
  <r>
    <n v="258"/>
    <x v="1"/>
    <s v="Azzurri"/>
    <s v="Vibo Valentia"/>
    <x v="1"/>
    <n v="173"/>
    <n v="5"/>
    <x v="14"/>
    <s v="VV"/>
  </r>
  <r>
    <n v="259"/>
    <x v="80"/>
    <s v="Bianchi"/>
    <s v="Perugia"/>
    <x v="1"/>
    <n v="1960"/>
    <n v="4"/>
    <x v="15"/>
    <s v="PG"/>
  </r>
  <r>
    <n v="260"/>
    <x v="133"/>
    <s v="Gialli"/>
    <s v="Vercelli"/>
    <x v="0"/>
    <n v="910"/>
    <n v="2"/>
    <x v="2"/>
    <s v="VC"/>
  </r>
  <r>
    <n v="261"/>
    <x v="29"/>
    <s v="Verdi"/>
    <s v="Pavia"/>
    <x v="4"/>
    <n v="830"/>
    <n v="5"/>
    <x v="7"/>
    <s v="PV"/>
  </r>
  <r>
    <n v="262"/>
    <x v="16"/>
    <s v="Gialli"/>
    <s v="Salerno"/>
    <x v="2"/>
    <n v="1006"/>
    <n v="2"/>
    <x v="13"/>
    <s v="SA"/>
  </r>
  <r>
    <n v="263"/>
    <x v="112"/>
    <s v="Gialli"/>
    <s v="Pordenone"/>
    <x v="3"/>
    <n v="268"/>
    <n v="4"/>
    <x v="4"/>
    <s v="PN"/>
  </r>
  <r>
    <n v="264"/>
    <x v="66"/>
    <s v="Verdi"/>
    <s v="Perugia"/>
    <x v="3"/>
    <n v="1160"/>
    <n v="5"/>
    <x v="15"/>
    <s v="PG"/>
  </r>
  <r>
    <n v="265"/>
    <x v="17"/>
    <s v="Rossi"/>
    <s v="Pavia"/>
    <x v="3"/>
    <n v="1000"/>
    <n v="1"/>
    <x v="7"/>
    <s v="PV"/>
  </r>
  <r>
    <n v="266"/>
    <x v="61"/>
    <s v="Bianchi"/>
    <s v="Pescara"/>
    <x v="0"/>
    <n v="1733"/>
    <n v="5"/>
    <x v="16"/>
    <s v="PE"/>
  </r>
  <r>
    <n v="267"/>
    <x v="104"/>
    <s v="Gialli"/>
    <s v="Savona"/>
    <x v="0"/>
    <n v="892"/>
    <n v="4"/>
    <x v="8"/>
    <s v="SV"/>
  </r>
  <r>
    <n v="268"/>
    <x v="75"/>
    <s v="Rossi"/>
    <s v="Ragusa"/>
    <x v="4"/>
    <n v="425"/>
    <n v="2"/>
    <x v="9"/>
    <s v="RG"/>
  </r>
  <r>
    <n v="269"/>
    <x v="114"/>
    <s v="Rossi"/>
    <s v="Reggio nell'Emilia"/>
    <x v="4"/>
    <n v="262"/>
    <n v="3"/>
    <x v="0"/>
    <s v="RE"/>
  </r>
  <r>
    <n v="270"/>
    <x v="11"/>
    <s v="Verdi"/>
    <s v="Ravenna"/>
    <x v="4"/>
    <n v="1475"/>
    <n v="3"/>
    <x v="0"/>
    <s v="RA"/>
  </r>
  <r>
    <n v="271"/>
    <x v="94"/>
    <s v="Azzurri"/>
    <s v="Vibo Valentia"/>
    <x v="4"/>
    <n v="1483"/>
    <n v="2"/>
    <x v="14"/>
    <s v="VV"/>
  </r>
  <r>
    <n v="272"/>
    <x v="134"/>
    <s v="Bianchi"/>
    <s v="Rimini"/>
    <x v="0"/>
    <n v="1255"/>
    <n v="5"/>
    <x v="0"/>
    <s v="RN"/>
  </r>
  <r>
    <n v="273"/>
    <x v="67"/>
    <s v="Bianchi"/>
    <s v="Savona"/>
    <x v="4"/>
    <n v="1687"/>
    <n v="2"/>
    <x v="8"/>
    <s v="SV"/>
  </r>
  <r>
    <n v="274"/>
    <x v="67"/>
    <s v="Gialli"/>
    <s v="Vicenza"/>
    <x v="2"/>
    <n v="792"/>
    <n v="5"/>
    <x v="6"/>
    <s v="VI"/>
  </r>
  <r>
    <n v="275"/>
    <x v="104"/>
    <s v="Gialli"/>
    <s v="Rieti"/>
    <x v="3"/>
    <n v="1284"/>
    <n v="2"/>
    <x v="12"/>
    <s v="RI"/>
  </r>
  <r>
    <n v="276"/>
    <x v="135"/>
    <s v="Gialli"/>
    <s v="Prato"/>
    <x v="1"/>
    <n v="1007"/>
    <n v="3"/>
    <x v="1"/>
    <s v="PO"/>
  </r>
  <r>
    <n v="277"/>
    <x v="75"/>
    <s v="Verdi"/>
    <s v="Pescara"/>
    <x v="4"/>
    <n v="1313"/>
    <n v="3"/>
    <x v="16"/>
    <s v="PE"/>
  </r>
  <r>
    <n v="278"/>
    <x v="113"/>
    <s v="Verdi"/>
    <s v="Reggio di Calabria"/>
    <x v="2"/>
    <n v="535"/>
    <n v="4"/>
    <x v="14"/>
    <s v="RC"/>
  </r>
  <r>
    <n v="279"/>
    <x v="66"/>
    <s v="Verdi"/>
    <s v="Prato"/>
    <x v="4"/>
    <n v="930"/>
    <n v="5"/>
    <x v="1"/>
    <s v="PO"/>
  </r>
  <r>
    <n v="280"/>
    <x v="87"/>
    <s v="Neri"/>
    <s v="Varese"/>
    <x v="1"/>
    <n v="1008"/>
    <n v="3"/>
    <x v="7"/>
    <s v="VA"/>
  </r>
  <r>
    <n v="281"/>
    <x v="99"/>
    <s v="Azzurri"/>
    <s v="Taranto"/>
    <x v="4"/>
    <n v="840"/>
    <n v="1"/>
    <x v="17"/>
    <s v="TA"/>
  </r>
  <r>
    <n v="282"/>
    <x v="24"/>
    <s v="Rossi"/>
    <s v="Siena"/>
    <x v="4"/>
    <n v="58"/>
    <n v="5"/>
    <x v="1"/>
    <s v="SI"/>
  </r>
  <r>
    <n v="283"/>
    <x v="66"/>
    <s v="Neri"/>
    <s v="Trapani"/>
    <x v="0"/>
    <n v="652"/>
    <n v="5"/>
    <x v="9"/>
    <s v="TP"/>
  </r>
  <r>
    <n v="284"/>
    <x v="131"/>
    <s v="Bianchi"/>
    <s v="Torino"/>
    <x v="4"/>
    <n v="834"/>
    <n v="2"/>
    <x v="2"/>
    <s v="TO"/>
  </r>
  <r>
    <n v="285"/>
    <x v="136"/>
    <s v="Rossi"/>
    <s v="Teramo"/>
    <x v="0"/>
    <n v="1394"/>
    <n v="5"/>
    <x v="16"/>
    <s v="TE"/>
  </r>
  <r>
    <n v="286"/>
    <x v="19"/>
    <s v="Rossi"/>
    <s v="Perugia"/>
    <x v="1"/>
    <n v="1809"/>
    <n v="2"/>
    <x v="15"/>
    <s v="PG"/>
  </r>
  <r>
    <n v="287"/>
    <x v="132"/>
    <s v="Azzurri"/>
    <s v="Rieti"/>
    <x v="1"/>
    <n v="1381"/>
    <n v="3"/>
    <x v="12"/>
    <s v="RI"/>
  </r>
  <r>
    <n v="288"/>
    <x v="107"/>
    <s v="Gialli"/>
    <s v="Pisa"/>
    <x v="4"/>
    <n v="742"/>
    <n v="1"/>
    <x v="1"/>
    <s v="PI"/>
  </r>
  <r>
    <n v="289"/>
    <x v="137"/>
    <s v="Verdi"/>
    <s v="Pordenone"/>
    <x v="2"/>
    <n v="12"/>
    <n v="4"/>
    <x v="4"/>
    <s v="PN"/>
  </r>
  <r>
    <n v="290"/>
    <x v="113"/>
    <s v="Neri"/>
    <s v="Verbano-Cusio-Ossola"/>
    <x v="0"/>
    <n v="118"/>
    <n v="5"/>
    <x v="2"/>
    <s v="VB"/>
  </r>
  <r>
    <n v="291"/>
    <x v="5"/>
    <s v="Rossi"/>
    <s v="Pesaro e Urbino"/>
    <x v="1"/>
    <n v="2000"/>
    <n v="4"/>
    <x v="10"/>
    <s v="PS"/>
  </r>
  <r>
    <n v="292"/>
    <x v="54"/>
    <s v="Azzurri"/>
    <s v="Teramo"/>
    <x v="4"/>
    <n v="1963"/>
    <n v="4"/>
    <x v="16"/>
    <s v="TE"/>
  </r>
  <r>
    <n v="293"/>
    <x v="2"/>
    <s v="Bianchi"/>
    <s v="Savona"/>
    <x v="1"/>
    <n v="1583"/>
    <n v="4"/>
    <x v="8"/>
    <s v="SV"/>
  </r>
  <r>
    <n v="294"/>
    <x v="123"/>
    <s v="Neri"/>
    <s v="Verbano-Cusio-Ossola"/>
    <x v="2"/>
    <n v="1103"/>
    <n v="1"/>
    <x v="2"/>
    <s v="VB"/>
  </r>
  <r>
    <n v="295"/>
    <x v="138"/>
    <s v="Azzurri"/>
    <s v="Sondrio"/>
    <x v="0"/>
    <n v="837"/>
    <n v="3"/>
    <x v="7"/>
    <s v="SO"/>
  </r>
  <r>
    <n v="296"/>
    <x v="100"/>
    <s v="Neri"/>
    <s v="Reggio di Calabria"/>
    <x v="0"/>
    <n v="6"/>
    <n v="2"/>
    <x v="14"/>
    <s v="RC"/>
  </r>
  <r>
    <n v="297"/>
    <x v="139"/>
    <s v="Gialli"/>
    <s v="Potenza"/>
    <x v="4"/>
    <n v="94"/>
    <n v="5"/>
    <x v="5"/>
    <s v="PZ"/>
  </r>
  <r>
    <n v="298"/>
    <x v="140"/>
    <s v="Verdi"/>
    <s v="Siracusa"/>
    <x v="3"/>
    <n v="1206"/>
    <n v="1"/>
    <x v="9"/>
    <s v="SR"/>
  </r>
  <r>
    <n v="299"/>
    <x v="62"/>
    <s v="Gialli"/>
    <s v="Reggio di Calabria"/>
    <x v="4"/>
    <n v="1266"/>
    <n v="4"/>
    <x v="14"/>
    <s v="RC"/>
  </r>
  <r>
    <n v="300"/>
    <x v="108"/>
    <s v="Bianchi"/>
    <s v="Treviso"/>
    <x v="2"/>
    <n v="707"/>
    <n v="5"/>
    <x v="6"/>
    <s v="TV"/>
  </r>
  <r>
    <n v="301"/>
    <x v="116"/>
    <s v="Neri"/>
    <s v="Sondrio"/>
    <x v="0"/>
    <n v="42"/>
    <n v="2"/>
    <x v="7"/>
    <s v="SO"/>
  </r>
  <r>
    <n v="302"/>
    <x v="15"/>
    <s v="Bianchi"/>
    <s v="Verbano-Cusio-Ossola"/>
    <x v="0"/>
    <n v="1560"/>
    <n v="5"/>
    <x v="2"/>
    <s v="VB"/>
  </r>
  <r>
    <n v="303"/>
    <x v="141"/>
    <s v="Verdi"/>
    <s v="Roma"/>
    <x v="2"/>
    <n v="1996"/>
    <n v="2"/>
    <x v="12"/>
    <s v="RM"/>
  </r>
  <r>
    <n v="304"/>
    <x v="142"/>
    <s v="Rossi"/>
    <s v="Pisa"/>
    <x v="1"/>
    <n v="884"/>
    <n v="4"/>
    <x v="1"/>
    <s v="PI"/>
  </r>
  <r>
    <n v="305"/>
    <x v="10"/>
    <s v="Rossi"/>
    <s v="Sassari"/>
    <x v="0"/>
    <n v="534"/>
    <n v="4"/>
    <x v="3"/>
    <s v="SS"/>
  </r>
  <r>
    <n v="306"/>
    <x v="19"/>
    <s v="Bianchi"/>
    <s v="Ragusa"/>
    <x v="4"/>
    <n v="1370"/>
    <n v="2"/>
    <x v="9"/>
    <s v="RG"/>
  </r>
  <r>
    <n v="307"/>
    <x v="51"/>
    <s v="Bianchi"/>
    <s v="Rimini"/>
    <x v="0"/>
    <n v="331"/>
    <n v="4"/>
    <x v="0"/>
    <s v="RN"/>
  </r>
  <r>
    <n v="308"/>
    <x v="9"/>
    <s v="Bianchi"/>
    <s v="Verbano-Cusio-Ossola"/>
    <x v="2"/>
    <n v="878"/>
    <n v="1"/>
    <x v="2"/>
    <s v="VB"/>
  </r>
  <r>
    <n v="309"/>
    <x v="143"/>
    <s v="Rossi"/>
    <s v="Verbano-Cusio-Ossola"/>
    <x v="0"/>
    <n v="1320"/>
    <n v="2"/>
    <x v="2"/>
    <s v="VB"/>
  </r>
  <r>
    <n v="310"/>
    <x v="40"/>
    <s v="Azzurri"/>
    <s v="Reggio di Calabria"/>
    <x v="3"/>
    <n v="1889"/>
    <n v="5"/>
    <x v="14"/>
    <s v="RC"/>
  </r>
  <r>
    <n v="311"/>
    <x v="107"/>
    <s v="Verdi"/>
    <s v="Rovigo"/>
    <x v="4"/>
    <n v="1330"/>
    <n v="5"/>
    <x v="6"/>
    <s v="RO"/>
  </r>
  <r>
    <n v="312"/>
    <x v="87"/>
    <s v="Verdi"/>
    <s v="Reggio di Calabria"/>
    <x v="1"/>
    <n v="1515"/>
    <n v="3"/>
    <x v="14"/>
    <s v="RC"/>
  </r>
  <r>
    <n v="313"/>
    <x v="33"/>
    <s v="Rossi"/>
    <s v="Terni"/>
    <x v="2"/>
    <n v="363"/>
    <n v="4"/>
    <x v="15"/>
    <s v="TR"/>
  </r>
  <r>
    <n v="314"/>
    <x v="144"/>
    <s v="Azzurri"/>
    <s v="Trieste"/>
    <x v="2"/>
    <n v="1616"/>
    <n v="2"/>
    <x v="4"/>
    <s v="TS"/>
  </r>
  <r>
    <n v="315"/>
    <x v="123"/>
    <s v="Gialli"/>
    <s v="Pisa"/>
    <x v="2"/>
    <n v="66"/>
    <n v="3"/>
    <x v="1"/>
    <s v="PI"/>
  </r>
  <r>
    <n v="316"/>
    <x v="57"/>
    <s v="Rossi"/>
    <s v="Potenza"/>
    <x v="0"/>
    <n v="1451"/>
    <n v="2"/>
    <x v="5"/>
    <s v="PZ"/>
  </r>
  <r>
    <n v="317"/>
    <x v="103"/>
    <s v="Bianchi"/>
    <s v="Siracusa"/>
    <x v="1"/>
    <n v="922"/>
    <n v="1"/>
    <x v="9"/>
    <s v="SR"/>
  </r>
  <r>
    <n v="318"/>
    <x v="127"/>
    <s v="Azzurri"/>
    <s v="Perugia"/>
    <x v="2"/>
    <n v="777"/>
    <n v="4"/>
    <x v="15"/>
    <s v="PG"/>
  </r>
  <r>
    <n v="319"/>
    <x v="145"/>
    <s v="Azzurri"/>
    <s v="Vercelli"/>
    <x v="0"/>
    <n v="1553"/>
    <n v="3"/>
    <x v="2"/>
    <s v="VC"/>
  </r>
  <r>
    <n v="320"/>
    <x v="39"/>
    <s v="Azzurri"/>
    <s v="Roma"/>
    <x v="3"/>
    <n v="1602"/>
    <n v="4"/>
    <x v="12"/>
    <s v="RM"/>
  </r>
  <r>
    <n v="321"/>
    <x v="53"/>
    <s v="Neri"/>
    <s v="Trieste"/>
    <x v="2"/>
    <n v="1223"/>
    <n v="4"/>
    <x v="4"/>
    <s v="TS"/>
  </r>
  <r>
    <n v="322"/>
    <x v="104"/>
    <s v="Rossi"/>
    <s v="Savona"/>
    <x v="2"/>
    <n v="1410"/>
    <n v="1"/>
    <x v="8"/>
    <s v="SV"/>
  </r>
  <r>
    <n v="323"/>
    <x v="146"/>
    <s v="Rossi"/>
    <s v="Rovigo"/>
    <x v="1"/>
    <n v="452"/>
    <n v="4"/>
    <x v="6"/>
    <s v="RO"/>
  </r>
  <r>
    <n v="324"/>
    <x v="147"/>
    <s v="Verdi"/>
    <s v="Pescara"/>
    <x v="1"/>
    <n v="242"/>
    <n v="1"/>
    <x v="16"/>
    <s v="PE"/>
  </r>
  <r>
    <n v="325"/>
    <x v="52"/>
    <s v="Neri"/>
    <s v="Piacenza"/>
    <x v="3"/>
    <n v="1568"/>
    <n v="4"/>
    <x v="0"/>
    <s v="PC"/>
  </r>
  <r>
    <n v="326"/>
    <x v="106"/>
    <s v="Verdi"/>
    <s v="Viterbo"/>
    <x v="2"/>
    <n v="207"/>
    <n v="4"/>
    <x v="12"/>
    <s v="VT"/>
  </r>
  <r>
    <n v="327"/>
    <x v="68"/>
    <s v="Neri"/>
    <s v="Rieti"/>
    <x v="4"/>
    <n v="1912"/>
    <n v="2"/>
    <x v="12"/>
    <s v="RI"/>
  </r>
  <r>
    <n v="328"/>
    <x v="148"/>
    <s v="Neri"/>
    <s v="Reggio nell'Emilia"/>
    <x v="0"/>
    <n v="771"/>
    <n v="5"/>
    <x v="0"/>
    <s v="RE"/>
  </r>
  <r>
    <n v="329"/>
    <x v="118"/>
    <s v="Gialli"/>
    <s v="Savona"/>
    <x v="2"/>
    <n v="97"/>
    <n v="2"/>
    <x v="8"/>
    <s v="SV"/>
  </r>
  <r>
    <n v="330"/>
    <x v="38"/>
    <s v="Rossi"/>
    <s v="Pescara"/>
    <x v="0"/>
    <n v="1361"/>
    <n v="5"/>
    <x v="16"/>
    <s v="PE"/>
  </r>
  <r>
    <n v="331"/>
    <x v="139"/>
    <s v="Azzurri"/>
    <s v="Vicenza"/>
    <x v="4"/>
    <n v="1986"/>
    <n v="4"/>
    <x v="6"/>
    <s v="VI"/>
  </r>
  <r>
    <n v="332"/>
    <x v="108"/>
    <s v="Bianchi"/>
    <s v="Venezia"/>
    <x v="0"/>
    <n v="1244"/>
    <n v="3"/>
    <x v="6"/>
    <s v="VE"/>
  </r>
  <r>
    <n v="333"/>
    <x v="149"/>
    <s v="Verdi"/>
    <s v="Roma"/>
    <x v="3"/>
    <n v="1319"/>
    <n v="1"/>
    <x v="12"/>
    <s v="RM"/>
  </r>
  <r>
    <n v="334"/>
    <x v="150"/>
    <s v="Gialli"/>
    <s v="Siena"/>
    <x v="2"/>
    <n v="1554"/>
    <n v="4"/>
    <x v="1"/>
    <s v="SI"/>
  </r>
  <r>
    <n v="335"/>
    <x v="151"/>
    <s v="Bianchi"/>
    <s v="Pordenone"/>
    <x v="4"/>
    <n v="1472"/>
    <n v="4"/>
    <x v="4"/>
    <s v="PN"/>
  </r>
  <r>
    <n v="336"/>
    <x v="10"/>
    <s v="Bianchi"/>
    <s v="Vercelli"/>
    <x v="3"/>
    <n v="220"/>
    <n v="5"/>
    <x v="2"/>
    <s v="VC"/>
  </r>
  <r>
    <n v="337"/>
    <x v="152"/>
    <s v="Verdi"/>
    <s v="Perugia"/>
    <x v="4"/>
    <n v="397"/>
    <n v="2"/>
    <x v="15"/>
    <s v="PG"/>
  </r>
  <r>
    <n v="338"/>
    <x v="79"/>
    <s v="Gialli"/>
    <s v="Viterbo"/>
    <x v="4"/>
    <n v="844"/>
    <n v="5"/>
    <x v="12"/>
    <s v="VT"/>
  </r>
  <r>
    <n v="339"/>
    <x v="148"/>
    <s v="Verdi"/>
    <s v="Salerno"/>
    <x v="4"/>
    <n v="1733"/>
    <n v="3"/>
    <x v="13"/>
    <s v="SA"/>
  </r>
  <r>
    <n v="340"/>
    <x v="28"/>
    <s v="Gialli"/>
    <s v="Teramo"/>
    <x v="1"/>
    <n v="1937"/>
    <n v="1"/>
    <x v="16"/>
    <s v="TE"/>
  </r>
  <r>
    <n v="341"/>
    <x v="41"/>
    <s v="Rossi"/>
    <s v="Potenza"/>
    <x v="4"/>
    <n v="591"/>
    <n v="3"/>
    <x v="5"/>
    <s v="PZ"/>
  </r>
  <r>
    <n v="342"/>
    <x v="85"/>
    <s v="Azzurri"/>
    <s v="Pistoia"/>
    <x v="0"/>
    <n v="1022"/>
    <n v="3"/>
    <x v="1"/>
    <s v="PT"/>
  </r>
  <r>
    <n v="343"/>
    <x v="153"/>
    <s v="Gialli"/>
    <s v="Varese"/>
    <x v="3"/>
    <n v="990"/>
    <n v="5"/>
    <x v="7"/>
    <s v="VA"/>
  </r>
  <r>
    <n v="344"/>
    <x v="149"/>
    <s v="Bianchi"/>
    <s v="Perugia"/>
    <x v="2"/>
    <n v="842"/>
    <n v="2"/>
    <x v="15"/>
    <s v="PG"/>
  </r>
  <r>
    <n v="345"/>
    <x v="151"/>
    <s v="Verdi"/>
    <s v="Verbano-Cusio-Ossola"/>
    <x v="4"/>
    <n v="506"/>
    <n v="5"/>
    <x v="2"/>
    <s v="VB"/>
  </r>
  <r>
    <n v="346"/>
    <x v="127"/>
    <s v="Verdi"/>
    <s v="Perugia"/>
    <x v="0"/>
    <n v="1170"/>
    <n v="3"/>
    <x v="15"/>
    <s v="PG"/>
  </r>
  <r>
    <n v="347"/>
    <x v="12"/>
    <s v="Rossi"/>
    <s v="Terni"/>
    <x v="2"/>
    <n v="460"/>
    <n v="4"/>
    <x v="15"/>
    <s v="TR"/>
  </r>
  <r>
    <n v="348"/>
    <x v="154"/>
    <s v="Azzurri"/>
    <s v="Sassari"/>
    <x v="2"/>
    <n v="1321"/>
    <n v="1"/>
    <x v="3"/>
    <s v="SS"/>
  </r>
  <r>
    <n v="349"/>
    <x v="153"/>
    <s v="Verdi"/>
    <s v="Ragusa"/>
    <x v="0"/>
    <n v="166"/>
    <n v="5"/>
    <x v="9"/>
    <s v="RG"/>
  </r>
  <r>
    <n v="350"/>
    <x v="35"/>
    <s v="Neri"/>
    <s v="Viterbo"/>
    <x v="0"/>
    <n v="1115"/>
    <n v="1"/>
    <x v="12"/>
    <s v="VT"/>
  </r>
  <r>
    <n v="351"/>
    <x v="76"/>
    <s v="Bianchi"/>
    <s v="Perugia"/>
    <x v="0"/>
    <n v="1919"/>
    <n v="2"/>
    <x v="15"/>
    <s v="PG"/>
  </r>
  <r>
    <n v="352"/>
    <x v="152"/>
    <s v="Rossi"/>
    <s v="Rovigo"/>
    <x v="0"/>
    <n v="1514"/>
    <n v="3"/>
    <x v="6"/>
    <s v="RO"/>
  </r>
  <r>
    <n v="353"/>
    <x v="31"/>
    <s v="Verdi"/>
    <s v="Rovigo"/>
    <x v="3"/>
    <n v="3"/>
    <n v="2"/>
    <x v="6"/>
    <s v="RO"/>
  </r>
  <r>
    <n v="354"/>
    <x v="155"/>
    <s v="Bianchi"/>
    <s v="Sondrio"/>
    <x v="4"/>
    <n v="445"/>
    <n v="2"/>
    <x v="7"/>
    <s v="SO"/>
  </r>
  <r>
    <n v="355"/>
    <x v="91"/>
    <s v="Rossi"/>
    <s v="Trapani"/>
    <x v="2"/>
    <n v="1028"/>
    <n v="4"/>
    <x v="9"/>
    <s v="TP"/>
  </r>
  <r>
    <n v="356"/>
    <x v="86"/>
    <s v="Azzurri"/>
    <s v="Pesaro e Urbino"/>
    <x v="3"/>
    <n v="893"/>
    <n v="4"/>
    <x v="10"/>
    <s v="PS"/>
  </r>
  <r>
    <n v="357"/>
    <x v="60"/>
    <s v="Neri"/>
    <s v="Rovigo"/>
    <x v="3"/>
    <n v="1421"/>
    <n v="1"/>
    <x v="6"/>
    <s v="RO"/>
  </r>
  <r>
    <n v="358"/>
    <x v="90"/>
    <s v="Rossi"/>
    <s v="Sondrio"/>
    <x v="4"/>
    <n v="1941"/>
    <n v="2"/>
    <x v="7"/>
    <s v="SO"/>
  </r>
  <r>
    <n v="359"/>
    <x v="54"/>
    <s v="Azzurri"/>
    <s v="Savona"/>
    <x v="3"/>
    <n v="1537"/>
    <n v="5"/>
    <x v="8"/>
    <s v="SV"/>
  </r>
  <r>
    <n v="360"/>
    <x v="23"/>
    <s v="Verdi"/>
    <s v="Pesaro e Urbino"/>
    <x v="1"/>
    <n v="1957"/>
    <n v="3"/>
    <x v="10"/>
    <s v="PS"/>
  </r>
  <r>
    <n v="361"/>
    <x v="131"/>
    <s v="Neri"/>
    <s v="Pesaro e Urbino"/>
    <x v="1"/>
    <n v="307"/>
    <n v="3"/>
    <x v="10"/>
    <s v="PS"/>
  </r>
  <r>
    <n v="362"/>
    <x v="136"/>
    <s v="Gialli"/>
    <s v="Siracusa"/>
    <x v="3"/>
    <n v="1128"/>
    <n v="3"/>
    <x v="9"/>
    <s v="SR"/>
  </r>
  <r>
    <n v="363"/>
    <x v="130"/>
    <s v="Gialli"/>
    <s v="Sassari"/>
    <x v="0"/>
    <n v="849"/>
    <n v="2"/>
    <x v="3"/>
    <s v="SS"/>
  </r>
  <r>
    <n v="364"/>
    <x v="92"/>
    <s v="Gialli"/>
    <s v="Varese"/>
    <x v="3"/>
    <n v="1252"/>
    <n v="1"/>
    <x v="7"/>
    <s v="VA"/>
  </r>
  <r>
    <n v="365"/>
    <x v="33"/>
    <s v="Neri"/>
    <s v="Udine"/>
    <x v="4"/>
    <n v="1965"/>
    <n v="4"/>
    <x v="4"/>
    <s v="UD"/>
  </r>
  <r>
    <n v="366"/>
    <x v="156"/>
    <s v="Rossi"/>
    <s v="Siena"/>
    <x v="3"/>
    <n v="667"/>
    <n v="5"/>
    <x v="1"/>
    <s v="SI"/>
  </r>
  <r>
    <n v="367"/>
    <x v="124"/>
    <s v="Gialli"/>
    <s v="Viterbo"/>
    <x v="1"/>
    <n v="653"/>
    <n v="3"/>
    <x v="12"/>
    <s v="VT"/>
  </r>
  <r>
    <n v="368"/>
    <x v="92"/>
    <s v="Bianchi"/>
    <s v="Roma"/>
    <x v="0"/>
    <n v="1602"/>
    <n v="4"/>
    <x v="12"/>
    <s v="RM"/>
  </r>
  <r>
    <n v="369"/>
    <x v="157"/>
    <s v="Azzurri"/>
    <s v="Savona"/>
    <x v="0"/>
    <n v="1609"/>
    <n v="2"/>
    <x v="8"/>
    <s v="SV"/>
  </r>
  <r>
    <n v="370"/>
    <x v="141"/>
    <s v="Azzurri"/>
    <s v="Pesaro e Urbino"/>
    <x v="4"/>
    <n v="1234"/>
    <n v="4"/>
    <x v="10"/>
    <s v="PS"/>
  </r>
  <r>
    <n v="371"/>
    <x v="158"/>
    <s v="Bianchi"/>
    <s v="Terni"/>
    <x v="3"/>
    <n v="186"/>
    <n v="3"/>
    <x v="15"/>
    <s v="TR"/>
  </r>
  <r>
    <n v="372"/>
    <x v="60"/>
    <s v="Verdi"/>
    <s v="Pistoia"/>
    <x v="3"/>
    <n v="556"/>
    <n v="4"/>
    <x v="1"/>
    <s v="PT"/>
  </r>
  <r>
    <n v="373"/>
    <x v="103"/>
    <s v="Rossi"/>
    <s v="Torino"/>
    <x v="2"/>
    <n v="408"/>
    <n v="5"/>
    <x v="2"/>
    <s v="TO"/>
  </r>
  <r>
    <n v="374"/>
    <x v="106"/>
    <s v="Rossi"/>
    <s v="Vibo Valentia"/>
    <x v="0"/>
    <n v="754"/>
    <n v="3"/>
    <x v="14"/>
    <s v="VV"/>
  </r>
  <r>
    <n v="375"/>
    <x v="120"/>
    <s v="Bianchi"/>
    <s v="Verbano-Cusio-Ossola"/>
    <x v="0"/>
    <n v="131"/>
    <n v="1"/>
    <x v="2"/>
    <s v="VB"/>
  </r>
  <r>
    <n v="376"/>
    <x v="124"/>
    <s v="Verdi"/>
    <s v="Sassari"/>
    <x v="4"/>
    <n v="1494"/>
    <n v="5"/>
    <x v="3"/>
    <s v="SS"/>
  </r>
  <r>
    <n v="377"/>
    <x v="102"/>
    <s v="Rossi"/>
    <s v="Verbano-Cusio-Ossola"/>
    <x v="2"/>
    <n v="1960"/>
    <n v="5"/>
    <x v="2"/>
    <s v="VB"/>
  </r>
  <r>
    <n v="378"/>
    <x v="159"/>
    <s v="Bianchi"/>
    <s v="Ragusa"/>
    <x v="2"/>
    <n v="1586"/>
    <n v="4"/>
    <x v="9"/>
    <s v="RG"/>
  </r>
  <r>
    <n v="379"/>
    <x v="101"/>
    <s v="Azzurri"/>
    <s v="Pisa"/>
    <x v="3"/>
    <n v="255"/>
    <n v="1"/>
    <x v="1"/>
    <s v="PI"/>
  </r>
  <r>
    <n v="380"/>
    <x v="57"/>
    <s v="Gialli"/>
    <s v="Sondrio"/>
    <x v="4"/>
    <n v="1469"/>
    <n v="2"/>
    <x v="7"/>
    <s v="SO"/>
  </r>
  <r>
    <n v="381"/>
    <x v="32"/>
    <s v="Azzurri"/>
    <s v="Pesaro e Urbino"/>
    <x v="2"/>
    <n v="1321"/>
    <n v="4"/>
    <x v="10"/>
    <s v="PS"/>
  </r>
  <r>
    <n v="382"/>
    <x v="160"/>
    <s v="Bianchi"/>
    <s v="Treviso"/>
    <x v="4"/>
    <n v="735"/>
    <n v="2"/>
    <x v="6"/>
    <s v="TV"/>
  </r>
  <r>
    <n v="383"/>
    <x v="156"/>
    <s v="Verdi"/>
    <s v="Siena"/>
    <x v="2"/>
    <n v="153"/>
    <n v="3"/>
    <x v="1"/>
    <s v="SI"/>
  </r>
  <r>
    <n v="384"/>
    <x v="158"/>
    <s v="Neri"/>
    <s v="Pistoia"/>
    <x v="4"/>
    <n v="1474"/>
    <n v="1"/>
    <x v="1"/>
    <s v="PT"/>
  </r>
  <r>
    <n v="385"/>
    <x v="111"/>
    <s v="Bianchi"/>
    <s v="Rovigo"/>
    <x v="2"/>
    <n v="1108"/>
    <n v="2"/>
    <x v="6"/>
    <s v="RO"/>
  </r>
  <r>
    <n v="386"/>
    <x v="29"/>
    <s v="Verdi"/>
    <s v="Perugia"/>
    <x v="3"/>
    <n v="1430"/>
    <n v="4"/>
    <x v="15"/>
    <s v="PG"/>
  </r>
  <r>
    <n v="387"/>
    <x v="81"/>
    <s v="Verdi"/>
    <s v="Roma"/>
    <x v="2"/>
    <n v="788"/>
    <n v="5"/>
    <x v="12"/>
    <s v="RM"/>
  </r>
  <r>
    <n v="388"/>
    <x v="11"/>
    <s v="Verdi"/>
    <s v="Viterbo"/>
    <x v="2"/>
    <n v="1362"/>
    <n v="3"/>
    <x v="12"/>
    <s v="VT"/>
  </r>
  <r>
    <n v="389"/>
    <x v="91"/>
    <s v="Neri"/>
    <s v="Vibo Valentia"/>
    <x v="1"/>
    <n v="744"/>
    <n v="3"/>
    <x v="14"/>
    <s v="VV"/>
  </r>
  <r>
    <n v="390"/>
    <x v="89"/>
    <s v="Verdi"/>
    <s v="Venezia"/>
    <x v="1"/>
    <n v="1252"/>
    <n v="2"/>
    <x v="6"/>
    <s v="VE"/>
  </r>
  <r>
    <n v="391"/>
    <x v="60"/>
    <s v="Verdi"/>
    <s v="Savona"/>
    <x v="2"/>
    <n v="1378"/>
    <n v="3"/>
    <x v="8"/>
    <s v="SV"/>
  </r>
  <r>
    <n v="392"/>
    <x v="101"/>
    <s v="Rossi"/>
    <s v="Perugia"/>
    <x v="1"/>
    <n v="192"/>
    <n v="5"/>
    <x v="15"/>
    <s v="PG"/>
  </r>
  <r>
    <n v="393"/>
    <x v="138"/>
    <s v="Gialli"/>
    <s v="Sondrio"/>
    <x v="2"/>
    <n v="1876"/>
    <n v="2"/>
    <x v="7"/>
    <s v="SO"/>
  </r>
  <r>
    <n v="394"/>
    <x v="161"/>
    <s v="Verdi"/>
    <s v="Reggio di Calabria"/>
    <x v="1"/>
    <n v="1640"/>
    <n v="1"/>
    <x v="14"/>
    <s v="RC"/>
  </r>
  <r>
    <n v="395"/>
    <x v="77"/>
    <s v="Neri"/>
    <s v="Verbano-Cusio-Ossola"/>
    <x v="0"/>
    <n v="848"/>
    <n v="4"/>
    <x v="2"/>
    <s v="VB"/>
  </r>
  <r>
    <n v="396"/>
    <x v="71"/>
    <s v="Rossi"/>
    <s v="Venezia"/>
    <x v="1"/>
    <n v="692"/>
    <n v="1"/>
    <x v="6"/>
    <s v="VE"/>
  </r>
  <r>
    <n v="397"/>
    <x v="69"/>
    <s v="Gialli"/>
    <s v="Prato"/>
    <x v="1"/>
    <n v="549"/>
    <n v="1"/>
    <x v="1"/>
    <s v="PO"/>
  </r>
  <r>
    <n v="398"/>
    <x v="2"/>
    <s v="Verdi"/>
    <s v="Ravenna"/>
    <x v="2"/>
    <n v="1482"/>
    <n v="2"/>
    <x v="0"/>
    <s v="RA"/>
  </r>
  <r>
    <n v="399"/>
    <x v="56"/>
    <s v="Rossi"/>
    <s v="Pisa"/>
    <x v="4"/>
    <n v="3"/>
    <n v="5"/>
    <x v="1"/>
    <s v="PI"/>
  </r>
  <r>
    <n v="400"/>
    <x v="145"/>
    <s v="Neri"/>
    <s v="Treviso"/>
    <x v="2"/>
    <n v="467"/>
    <n v="3"/>
    <x v="6"/>
    <s v="TV"/>
  </r>
  <r>
    <n v="401"/>
    <x v="37"/>
    <s v="Rossi"/>
    <s v="Rimini"/>
    <x v="3"/>
    <n v="1746"/>
    <n v="3"/>
    <x v="0"/>
    <s v="RN"/>
  </r>
  <r>
    <n v="402"/>
    <x v="73"/>
    <s v="Gialli"/>
    <s v="Rieti"/>
    <x v="3"/>
    <n v="681"/>
    <n v="4"/>
    <x v="12"/>
    <s v="RI"/>
  </r>
  <r>
    <n v="403"/>
    <x v="97"/>
    <s v="Neri"/>
    <s v="Ravenna"/>
    <x v="4"/>
    <n v="136"/>
    <n v="3"/>
    <x v="0"/>
    <s v="RA"/>
  </r>
  <r>
    <n v="404"/>
    <x v="58"/>
    <s v="Verdi"/>
    <s v="Vibo Valentia"/>
    <x v="1"/>
    <n v="1600"/>
    <n v="3"/>
    <x v="14"/>
    <s v="VV"/>
  </r>
  <r>
    <n v="405"/>
    <x v="46"/>
    <s v="Verdi"/>
    <s v="Viterbo"/>
    <x v="3"/>
    <n v="1825"/>
    <n v="5"/>
    <x v="12"/>
    <s v="VT"/>
  </r>
  <r>
    <n v="406"/>
    <x v="135"/>
    <s v="Neri"/>
    <s v="Treviso"/>
    <x v="3"/>
    <n v="957"/>
    <n v="1"/>
    <x v="6"/>
    <s v="TV"/>
  </r>
  <r>
    <n v="407"/>
    <x v="157"/>
    <s v="Rossi"/>
    <s v="Savona"/>
    <x v="0"/>
    <n v="1941"/>
    <n v="5"/>
    <x v="8"/>
    <s v="SV"/>
  </r>
  <r>
    <n v="408"/>
    <x v="160"/>
    <s v="Verdi"/>
    <s v="Teramo"/>
    <x v="2"/>
    <n v="417"/>
    <n v="1"/>
    <x v="16"/>
    <s v="TE"/>
  </r>
  <r>
    <n v="409"/>
    <x v="91"/>
    <s v="Gialli"/>
    <s v="Vibo Valentia"/>
    <x v="0"/>
    <n v="1839"/>
    <n v="4"/>
    <x v="14"/>
    <s v="VV"/>
  </r>
  <r>
    <n v="410"/>
    <x v="15"/>
    <s v="Bianchi"/>
    <s v="Udine"/>
    <x v="4"/>
    <n v="1647"/>
    <n v="1"/>
    <x v="4"/>
    <s v="UD"/>
  </r>
  <r>
    <n v="411"/>
    <x v="34"/>
    <s v="Verdi"/>
    <s v="Ravenna"/>
    <x v="0"/>
    <n v="87"/>
    <n v="5"/>
    <x v="0"/>
    <s v="RA"/>
  </r>
  <r>
    <n v="412"/>
    <x v="17"/>
    <s v="Verdi"/>
    <s v="Pescara"/>
    <x v="1"/>
    <n v="1123"/>
    <n v="2"/>
    <x v="16"/>
    <s v="PE"/>
  </r>
  <r>
    <n v="413"/>
    <x v="140"/>
    <s v="Azzurri"/>
    <s v="Salerno"/>
    <x v="0"/>
    <n v="1881"/>
    <n v="1"/>
    <x v="13"/>
    <s v="SA"/>
  </r>
  <r>
    <n v="414"/>
    <x v="162"/>
    <s v="Rossi"/>
    <s v="Pistoia"/>
    <x v="0"/>
    <n v="517"/>
    <n v="1"/>
    <x v="1"/>
    <s v="PT"/>
  </r>
  <r>
    <n v="415"/>
    <x v="30"/>
    <s v="Neri"/>
    <s v="Siena"/>
    <x v="3"/>
    <n v="1662"/>
    <n v="3"/>
    <x v="1"/>
    <s v="SI"/>
  </r>
  <r>
    <n v="416"/>
    <x v="55"/>
    <s v="Neri"/>
    <s v="Venezia"/>
    <x v="0"/>
    <n v="540"/>
    <n v="4"/>
    <x v="6"/>
    <s v="VE"/>
  </r>
  <r>
    <n v="417"/>
    <x v="133"/>
    <s v="Bianchi"/>
    <s v="Reggio di Calabria"/>
    <x v="1"/>
    <n v="207"/>
    <n v="1"/>
    <x v="14"/>
    <s v="RC"/>
  </r>
  <r>
    <n v="418"/>
    <x v="109"/>
    <s v="Neri"/>
    <s v="Piacenza"/>
    <x v="3"/>
    <n v="879"/>
    <n v="2"/>
    <x v="0"/>
    <s v="PC"/>
  </r>
  <r>
    <n v="419"/>
    <x v="76"/>
    <s v="Verdi"/>
    <s v="Ragusa"/>
    <x v="0"/>
    <n v="1602"/>
    <n v="5"/>
    <x v="9"/>
    <s v="RG"/>
  </r>
  <r>
    <n v="420"/>
    <x v="142"/>
    <s v="Rossi"/>
    <s v="Potenza"/>
    <x v="3"/>
    <n v="1061"/>
    <n v="1"/>
    <x v="5"/>
    <s v="PZ"/>
  </r>
  <r>
    <n v="421"/>
    <x v="1"/>
    <s v="Rossi"/>
    <s v="Pisa"/>
    <x v="4"/>
    <n v="569"/>
    <n v="1"/>
    <x v="1"/>
    <s v="PI"/>
  </r>
  <r>
    <n v="422"/>
    <x v="83"/>
    <s v="Bianchi"/>
    <s v="Trapani"/>
    <x v="0"/>
    <n v="1479"/>
    <n v="3"/>
    <x v="9"/>
    <s v="TP"/>
  </r>
  <r>
    <n v="423"/>
    <x v="161"/>
    <s v="Neri"/>
    <s v="Reggio di Calabria"/>
    <x v="2"/>
    <n v="1940"/>
    <n v="5"/>
    <x v="14"/>
    <s v="RC"/>
  </r>
  <r>
    <n v="424"/>
    <x v="123"/>
    <s v="Verdi"/>
    <s v="Terni"/>
    <x v="3"/>
    <n v="1590"/>
    <n v="5"/>
    <x v="15"/>
    <s v="TR"/>
  </r>
  <r>
    <n v="425"/>
    <x v="60"/>
    <s v="Neri"/>
    <s v="Pistoia"/>
    <x v="1"/>
    <n v="882"/>
    <n v="1"/>
    <x v="1"/>
    <s v="PT"/>
  </r>
  <r>
    <n v="426"/>
    <x v="39"/>
    <s v="Rossi"/>
    <s v="Taranto"/>
    <x v="1"/>
    <n v="593"/>
    <n v="2"/>
    <x v="17"/>
    <s v="TA"/>
  </r>
  <r>
    <n v="427"/>
    <x v="138"/>
    <s v="Gialli"/>
    <s v="Piacenza"/>
    <x v="2"/>
    <n v="1853"/>
    <n v="1"/>
    <x v="0"/>
    <s v="PC"/>
  </r>
  <r>
    <n v="428"/>
    <x v="146"/>
    <s v="Verdi"/>
    <s v="Pisa"/>
    <x v="0"/>
    <n v="1276"/>
    <n v="3"/>
    <x v="1"/>
    <s v="PI"/>
  </r>
  <r>
    <n v="429"/>
    <x v="71"/>
    <s v="Bianchi"/>
    <s v="Perugia"/>
    <x v="3"/>
    <n v="563"/>
    <n v="1"/>
    <x v="15"/>
    <s v="PG"/>
  </r>
  <r>
    <n v="430"/>
    <x v="62"/>
    <s v="Azzurri"/>
    <s v="Vibo Valentia"/>
    <x v="1"/>
    <n v="114"/>
    <n v="4"/>
    <x v="14"/>
    <s v="VV"/>
  </r>
  <r>
    <n v="431"/>
    <x v="30"/>
    <s v="Azzurri"/>
    <s v="Taranto"/>
    <x v="0"/>
    <n v="997"/>
    <n v="3"/>
    <x v="17"/>
    <s v="TA"/>
  </r>
  <r>
    <n v="432"/>
    <x v="35"/>
    <s v="Rossi"/>
    <s v="Siena"/>
    <x v="2"/>
    <n v="492"/>
    <n v="1"/>
    <x v="1"/>
    <s v="SI"/>
  </r>
  <r>
    <n v="433"/>
    <x v="125"/>
    <s v="Gialli"/>
    <s v="Viterbo"/>
    <x v="4"/>
    <n v="1722"/>
    <n v="3"/>
    <x v="12"/>
    <s v="VT"/>
  </r>
  <r>
    <n v="434"/>
    <x v="52"/>
    <s v="Rossi"/>
    <s v="Venezia"/>
    <x v="1"/>
    <n v="1314"/>
    <n v="5"/>
    <x v="6"/>
    <s v="VE"/>
  </r>
  <r>
    <n v="435"/>
    <x v="44"/>
    <s v="Gialli"/>
    <s v="Rieti"/>
    <x v="2"/>
    <n v="702"/>
    <n v="2"/>
    <x v="12"/>
    <s v="RI"/>
  </r>
  <r>
    <n v="436"/>
    <x v="70"/>
    <s v="Bianchi"/>
    <s v="Sassari"/>
    <x v="1"/>
    <n v="1090"/>
    <n v="2"/>
    <x v="3"/>
    <s v="SS"/>
  </r>
  <r>
    <n v="437"/>
    <x v="88"/>
    <s v="Azzurri"/>
    <s v="Siena"/>
    <x v="3"/>
    <n v="1552"/>
    <n v="5"/>
    <x v="1"/>
    <s v="SI"/>
  </r>
  <r>
    <n v="438"/>
    <x v="64"/>
    <s v="Azzurri"/>
    <s v="Reggio di Calabria"/>
    <x v="1"/>
    <n v="1087"/>
    <n v="4"/>
    <x v="14"/>
    <s v="RC"/>
  </r>
  <r>
    <n v="439"/>
    <x v="86"/>
    <s v="Rossi"/>
    <s v="Potenza"/>
    <x v="2"/>
    <n v="665"/>
    <n v="4"/>
    <x v="5"/>
    <s v="PZ"/>
  </r>
  <r>
    <n v="440"/>
    <x v="89"/>
    <s v="Azzurri"/>
    <s v="Verona"/>
    <x v="4"/>
    <n v="1247"/>
    <n v="5"/>
    <x v="6"/>
    <s v="VR"/>
  </r>
  <r>
    <n v="441"/>
    <x v="70"/>
    <s v="Azzurri"/>
    <s v="Reggio nell'Emilia"/>
    <x v="0"/>
    <n v="1265"/>
    <n v="5"/>
    <x v="0"/>
    <s v="RE"/>
  </r>
  <r>
    <n v="442"/>
    <x v="11"/>
    <s v="Verdi"/>
    <s v="Salerno"/>
    <x v="4"/>
    <n v="828"/>
    <n v="3"/>
    <x v="13"/>
    <s v="SA"/>
  </r>
  <r>
    <n v="443"/>
    <x v="78"/>
    <s v="Verdi"/>
    <s v="Teramo"/>
    <x v="4"/>
    <n v="1960"/>
    <n v="3"/>
    <x v="16"/>
    <s v="TE"/>
  </r>
  <r>
    <n v="444"/>
    <x v="115"/>
    <s v="Gialli"/>
    <s v="Pavia"/>
    <x v="2"/>
    <n v="120"/>
    <n v="4"/>
    <x v="7"/>
    <s v="PV"/>
  </r>
  <r>
    <n v="445"/>
    <x v="137"/>
    <s v="Bianchi"/>
    <s v="Roma"/>
    <x v="2"/>
    <n v="1951"/>
    <n v="3"/>
    <x v="12"/>
    <s v="RM"/>
  </r>
  <r>
    <n v="446"/>
    <x v="159"/>
    <s v="Azzurri"/>
    <s v="Pistoia"/>
    <x v="2"/>
    <n v="756"/>
    <n v="2"/>
    <x v="1"/>
    <s v="PT"/>
  </r>
  <r>
    <n v="447"/>
    <x v="163"/>
    <s v="Rossi"/>
    <s v="Vibo Valentia"/>
    <x v="1"/>
    <n v="178"/>
    <n v="5"/>
    <x v="14"/>
    <s v="VV"/>
  </r>
  <r>
    <n v="448"/>
    <x v="25"/>
    <s v="Bianchi"/>
    <s v="Trapani"/>
    <x v="2"/>
    <n v="912"/>
    <n v="4"/>
    <x v="9"/>
    <s v="TP"/>
  </r>
  <r>
    <n v="449"/>
    <x v="164"/>
    <s v="Azzurri"/>
    <s v="Savona"/>
    <x v="2"/>
    <n v="216"/>
    <n v="1"/>
    <x v="8"/>
    <s v="SV"/>
  </r>
  <r>
    <n v="450"/>
    <x v="150"/>
    <s v="Azzurri"/>
    <s v="Venezia"/>
    <x v="1"/>
    <n v="647"/>
    <n v="2"/>
    <x v="6"/>
    <s v="VE"/>
  </r>
  <r>
    <n v="451"/>
    <x v="7"/>
    <s v="Bianchi"/>
    <s v="Trapani"/>
    <x v="1"/>
    <n v="1101"/>
    <n v="2"/>
    <x v="9"/>
    <s v="TP"/>
  </r>
  <r>
    <n v="452"/>
    <x v="129"/>
    <s v="Bianchi"/>
    <s v="Perugia"/>
    <x v="0"/>
    <n v="426"/>
    <n v="2"/>
    <x v="15"/>
    <s v="PG"/>
  </r>
  <r>
    <n v="453"/>
    <x v="110"/>
    <s v="Neri"/>
    <s v="Trapani"/>
    <x v="1"/>
    <n v="1476"/>
    <n v="1"/>
    <x v="9"/>
    <s v="TP"/>
  </r>
  <r>
    <n v="454"/>
    <x v="61"/>
    <s v="Rossi"/>
    <s v="Rieti"/>
    <x v="1"/>
    <n v="1417"/>
    <n v="2"/>
    <x v="12"/>
    <s v="RI"/>
  </r>
  <r>
    <n v="455"/>
    <x v="104"/>
    <s v="Azzurri"/>
    <s v="Salerno"/>
    <x v="0"/>
    <n v="1715"/>
    <n v="2"/>
    <x v="13"/>
    <s v="SA"/>
  </r>
  <r>
    <n v="456"/>
    <x v="95"/>
    <s v="Bianchi"/>
    <s v="Siena"/>
    <x v="1"/>
    <n v="1289"/>
    <n v="4"/>
    <x v="1"/>
    <s v="SI"/>
  </r>
  <r>
    <n v="457"/>
    <x v="110"/>
    <s v="Gialli"/>
    <s v="Pesaro e Urbino"/>
    <x v="2"/>
    <n v="1427"/>
    <n v="5"/>
    <x v="10"/>
    <s v="PS"/>
  </r>
  <r>
    <n v="458"/>
    <x v="87"/>
    <s v="Gialli"/>
    <s v="Sondrio"/>
    <x v="3"/>
    <n v="445"/>
    <n v="5"/>
    <x v="7"/>
    <s v="SO"/>
  </r>
  <r>
    <n v="459"/>
    <x v="111"/>
    <s v="Rossi"/>
    <s v="Rimini"/>
    <x v="0"/>
    <n v="1390"/>
    <n v="4"/>
    <x v="0"/>
    <s v="RN"/>
  </r>
  <r>
    <n v="460"/>
    <x v="83"/>
    <s v="Verdi"/>
    <s v="Potenza"/>
    <x v="1"/>
    <n v="1897"/>
    <n v="3"/>
    <x v="5"/>
    <s v="PZ"/>
  </r>
  <r>
    <n v="461"/>
    <x v="142"/>
    <s v="Neri"/>
    <s v="Torino"/>
    <x v="0"/>
    <n v="713"/>
    <n v="5"/>
    <x v="2"/>
    <s v="TO"/>
  </r>
  <r>
    <n v="462"/>
    <x v="136"/>
    <s v="Neri"/>
    <s v="Terni"/>
    <x v="3"/>
    <n v="1509"/>
    <n v="2"/>
    <x v="15"/>
    <s v="TR"/>
  </r>
  <r>
    <n v="463"/>
    <x v="4"/>
    <s v="Rossi"/>
    <s v="Sassari"/>
    <x v="2"/>
    <n v="210"/>
    <n v="4"/>
    <x v="3"/>
    <s v="SS"/>
  </r>
  <r>
    <n v="464"/>
    <x v="86"/>
    <s v="Bianchi"/>
    <s v="Pescara"/>
    <x v="3"/>
    <n v="660"/>
    <n v="3"/>
    <x v="16"/>
    <s v="PE"/>
  </r>
  <r>
    <n v="465"/>
    <x v="163"/>
    <s v="Rossi"/>
    <s v="Perugia"/>
    <x v="2"/>
    <n v="872"/>
    <n v="2"/>
    <x v="15"/>
    <s v="PG"/>
  </r>
  <r>
    <n v="466"/>
    <x v="5"/>
    <s v="Rossi"/>
    <s v="Torino"/>
    <x v="3"/>
    <n v="1225"/>
    <n v="5"/>
    <x v="2"/>
    <s v="TO"/>
  </r>
  <r>
    <n v="467"/>
    <x v="39"/>
    <s v="Verdi"/>
    <s v="Sassari"/>
    <x v="3"/>
    <n v="1916"/>
    <n v="5"/>
    <x v="3"/>
    <s v="SS"/>
  </r>
  <r>
    <n v="468"/>
    <x v="59"/>
    <s v="Rossi"/>
    <s v="Verbano-Cusio-Ossola"/>
    <x v="3"/>
    <n v="1173"/>
    <n v="2"/>
    <x v="2"/>
    <s v="VB"/>
  </r>
  <r>
    <n v="469"/>
    <x v="8"/>
    <s v="Azzurri"/>
    <s v="Roma"/>
    <x v="0"/>
    <n v="297"/>
    <n v="3"/>
    <x v="12"/>
    <s v="RM"/>
  </r>
  <r>
    <n v="470"/>
    <x v="165"/>
    <s v="Bianchi"/>
    <s v="Viterbo"/>
    <x v="0"/>
    <n v="1244"/>
    <n v="5"/>
    <x v="12"/>
    <s v="VT"/>
  </r>
  <r>
    <n v="471"/>
    <x v="105"/>
    <s v="Bianchi"/>
    <s v="Verbano-Cusio-Ossola"/>
    <x v="4"/>
    <n v="1099"/>
    <n v="4"/>
    <x v="2"/>
    <s v="VB"/>
  </r>
  <r>
    <n v="472"/>
    <x v="166"/>
    <s v="Verdi"/>
    <s v="Pordenone"/>
    <x v="4"/>
    <n v="1448"/>
    <n v="1"/>
    <x v="4"/>
    <s v="PN"/>
  </r>
  <r>
    <n v="473"/>
    <x v="91"/>
    <s v="Azzurri"/>
    <s v="Ragusa"/>
    <x v="0"/>
    <n v="155"/>
    <n v="5"/>
    <x v="9"/>
    <s v="RG"/>
  </r>
  <r>
    <n v="474"/>
    <x v="107"/>
    <s v="Rossi"/>
    <s v="Verbano-Cusio-Ossola"/>
    <x v="3"/>
    <n v="214"/>
    <n v="2"/>
    <x v="2"/>
    <s v="VB"/>
  </r>
  <r>
    <n v="475"/>
    <x v="59"/>
    <s v="Azzurri"/>
    <s v="Trento"/>
    <x v="1"/>
    <n v="1956"/>
    <n v="1"/>
    <x v="11"/>
    <s v="TN"/>
  </r>
  <r>
    <n v="476"/>
    <x v="57"/>
    <s v="Rossi"/>
    <s v="Torino"/>
    <x v="2"/>
    <n v="1938"/>
    <n v="3"/>
    <x v="2"/>
    <s v="TO"/>
  </r>
  <r>
    <n v="477"/>
    <x v="151"/>
    <s v="Azzurri"/>
    <s v="Terni"/>
    <x v="4"/>
    <n v="336"/>
    <n v="5"/>
    <x v="15"/>
    <s v="TR"/>
  </r>
  <r>
    <n v="478"/>
    <x v="146"/>
    <s v="Neri"/>
    <s v="Teramo"/>
    <x v="4"/>
    <n v="1467"/>
    <n v="1"/>
    <x v="16"/>
    <s v="TE"/>
  </r>
  <r>
    <n v="479"/>
    <x v="88"/>
    <s v="Gialli"/>
    <s v="Potenza"/>
    <x v="3"/>
    <n v="308"/>
    <n v="5"/>
    <x v="5"/>
    <s v="PZ"/>
  </r>
  <r>
    <n v="480"/>
    <x v="26"/>
    <s v="Azzurri"/>
    <s v="Trieste"/>
    <x v="0"/>
    <n v="1581"/>
    <n v="3"/>
    <x v="4"/>
    <s v="TS"/>
  </r>
  <r>
    <n v="481"/>
    <x v="72"/>
    <s v="Bianchi"/>
    <s v="Vicenza"/>
    <x v="4"/>
    <n v="539"/>
    <n v="5"/>
    <x v="6"/>
    <s v="VI"/>
  </r>
  <r>
    <n v="482"/>
    <x v="132"/>
    <s v="Rossi"/>
    <s v="Terni"/>
    <x v="4"/>
    <n v="1847"/>
    <n v="1"/>
    <x v="15"/>
    <s v="TR"/>
  </r>
  <r>
    <n v="483"/>
    <x v="122"/>
    <s v="Gialli"/>
    <s v="Ravenna"/>
    <x v="2"/>
    <n v="495"/>
    <n v="3"/>
    <x v="0"/>
    <s v="RA"/>
  </r>
  <r>
    <n v="484"/>
    <x v="74"/>
    <s v="Gialli"/>
    <s v="Siena"/>
    <x v="3"/>
    <n v="369"/>
    <n v="5"/>
    <x v="1"/>
    <s v="SI"/>
  </r>
  <r>
    <n v="485"/>
    <x v="31"/>
    <s v="Verdi"/>
    <s v="Verona"/>
    <x v="1"/>
    <n v="1963"/>
    <n v="3"/>
    <x v="6"/>
    <s v="VR"/>
  </r>
  <r>
    <n v="486"/>
    <x v="40"/>
    <s v="Rossi"/>
    <s v="Salerno"/>
    <x v="2"/>
    <n v="1334"/>
    <n v="3"/>
    <x v="13"/>
    <s v="SA"/>
  </r>
  <r>
    <n v="487"/>
    <x v="56"/>
    <s v="Rossi"/>
    <s v="Trieste"/>
    <x v="3"/>
    <n v="886"/>
    <n v="2"/>
    <x v="4"/>
    <s v="TS"/>
  </r>
  <r>
    <n v="488"/>
    <x v="142"/>
    <s v="Bianchi"/>
    <s v="Trento"/>
    <x v="0"/>
    <n v="689"/>
    <n v="3"/>
    <x v="11"/>
    <s v="TN"/>
  </r>
  <r>
    <n v="489"/>
    <x v="155"/>
    <s v="Bianchi"/>
    <s v="Treviso"/>
    <x v="2"/>
    <n v="1880"/>
    <n v="1"/>
    <x v="6"/>
    <s v="TV"/>
  </r>
  <r>
    <n v="490"/>
    <x v="112"/>
    <s v="Bianchi"/>
    <s v="Prato"/>
    <x v="2"/>
    <n v="1357"/>
    <n v="4"/>
    <x v="1"/>
    <s v="PO"/>
  </r>
  <r>
    <n v="491"/>
    <x v="117"/>
    <s v="Azzurri"/>
    <s v="Rieti"/>
    <x v="0"/>
    <n v="1007"/>
    <n v="5"/>
    <x v="12"/>
    <s v="RI"/>
  </r>
  <r>
    <n v="492"/>
    <x v="150"/>
    <s v="Azzurri"/>
    <s v="Siracusa"/>
    <x v="2"/>
    <n v="1126"/>
    <n v="3"/>
    <x v="9"/>
    <s v="SR"/>
  </r>
  <r>
    <n v="493"/>
    <x v="117"/>
    <s v="Rossi"/>
    <s v="Rovigo"/>
    <x v="4"/>
    <n v="1779"/>
    <n v="1"/>
    <x v="6"/>
    <s v="RO"/>
  </r>
  <r>
    <n v="494"/>
    <x v="78"/>
    <s v="Rossi"/>
    <s v="Roma"/>
    <x v="4"/>
    <n v="668"/>
    <n v="1"/>
    <x v="12"/>
    <s v="RM"/>
  </r>
  <r>
    <n v="495"/>
    <x v="119"/>
    <s v="Azzurri"/>
    <s v="Trapani"/>
    <x v="1"/>
    <n v="204"/>
    <n v="1"/>
    <x v="9"/>
    <s v="TP"/>
  </r>
  <r>
    <n v="496"/>
    <x v="63"/>
    <s v="Gialli"/>
    <s v="Potenza"/>
    <x v="2"/>
    <n v="1517"/>
    <n v="5"/>
    <x v="5"/>
    <s v="PZ"/>
  </r>
  <r>
    <n v="497"/>
    <x v="160"/>
    <s v="Gialli"/>
    <s v="Savona"/>
    <x v="1"/>
    <n v="840"/>
    <n v="1"/>
    <x v="8"/>
    <s v="SV"/>
  </r>
  <r>
    <n v="498"/>
    <x v="60"/>
    <s v="Bianchi"/>
    <s v="Ragusa"/>
    <x v="1"/>
    <n v="1724"/>
    <n v="1"/>
    <x v="9"/>
    <s v="RG"/>
  </r>
  <r>
    <n v="499"/>
    <x v="167"/>
    <s v="Rossi"/>
    <s v="Vibo Valentia"/>
    <x v="1"/>
    <n v="951"/>
    <n v="3"/>
    <x v="14"/>
    <s v="VV"/>
  </r>
  <r>
    <n v="500"/>
    <x v="168"/>
    <s v="Verdi"/>
    <s v="Trapani"/>
    <x v="3"/>
    <n v="1892"/>
    <n v="4"/>
    <x v="9"/>
    <s v="TP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s v="Piacenza"/>
    <s v="Libri"/>
    <n v="360"/>
    <n v="3"/>
    <s v="Emilia-Romagna"/>
    <s v="PC"/>
    <x v="0"/>
    <n v="70"/>
  </r>
  <r>
    <n v="2"/>
    <x v="1"/>
    <x v="1"/>
    <s v="Pistoia"/>
    <s v="Libri"/>
    <n v="1496"/>
    <n v="5"/>
    <s v="Toscana"/>
    <s v="PT"/>
    <x v="1"/>
    <n v="87"/>
  </r>
  <r>
    <n v="3"/>
    <x v="2"/>
    <x v="1"/>
    <s v="Verbano-Cusio-Ossola"/>
    <s v="Informatica"/>
    <n v="1342"/>
    <n v="4"/>
    <s v="Piemonte"/>
    <s v="VB"/>
    <x v="0"/>
    <n v="87"/>
  </r>
  <r>
    <n v="4"/>
    <x v="3"/>
    <x v="2"/>
    <s v="Ravenna"/>
    <s v="Art. Regalo"/>
    <n v="972"/>
    <n v="1"/>
    <s v="Emilia-Romagna"/>
    <s v="RA"/>
    <x v="0"/>
    <n v="83"/>
  </r>
  <r>
    <n v="5"/>
    <x v="4"/>
    <x v="1"/>
    <s v="Pisa"/>
    <s v="Informatica"/>
    <n v="348"/>
    <n v="2"/>
    <s v="Toscana"/>
    <s v="PI"/>
    <x v="1"/>
    <n v="87"/>
  </r>
  <r>
    <n v="6"/>
    <x v="5"/>
    <x v="1"/>
    <s v="Vercelli"/>
    <s v="Cancelleria"/>
    <n v="31"/>
    <n v="1"/>
    <s v="Piemonte"/>
    <s v="VC"/>
    <x v="0"/>
    <n v="87"/>
  </r>
  <r>
    <n v="7"/>
    <x v="6"/>
    <x v="1"/>
    <s v="Sassari"/>
    <s v="Art. Regalo"/>
    <n v="1087"/>
    <n v="4"/>
    <s v="Sardegna"/>
    <s v="SS"/>
    <x v="2"/>
    <n v="87"/>
  </r>
  <r>
    <n v="8"/>
    <x v="7"/>
    <x v="2"/>
    <s v="Sassari"/>
    <s v="Informatica"/>
    <n v="760"/>
    <n v="2"/>
    <s v="Sardegna"/>
    <s v="SS"/>
    <x v="2"/>
    <n v="83"/>
  </r>
  <r>
    <n v="9"/>
    <x v="8"/>
    <x v="2"/>
    <s v="Pistoia"/>
    <s v="Informatica"/>
    <n v="10"/>
    <n v="5"/>
    <s v="Toscana"/>
    <s v="PT"/>
    <x v="1"/>
    <n v="83"/>
  </r>
  <r>
    <n v="10"/>
    <x v="9"/>
    <x v="2"/>
    <s v="Trieste"/>
    <s v="Libri"/>
    <n v="357"/>
    <n v="2"/>
    <s v="Friuli-Venezia Giulia"/>
    <s v="TS"/>
    <x v="0"/>
    <n v="83"/>
  </r>
  <r>
    <n v="11"/>
    <x v="10"/>
    <x v="2"/>
    <s v="Sassari"/>
    <s v="Informatica"/>
    <n v="19"/>
    <n v="1"/>
    <s v="Sardegna"/>
    <s v="SS"/>
    <x v="2"/>
    <n v="83"/>
  </r>
  <r>
    <n v="12"/>
    <x v="11"/>
    <x v="3"/>
    <s v="Rimini"/>
    <s v="Cancelleria"/>
    <n v="20"/>
    <n v="1"/>
    <s v="Emilia-Romagna"/>
    <s v="RN"/>
    <x v="0"/>
    <n v="96"/>
  </r>
  <r>
    <n v="13"/>
    <x v="12"/>
    <x v="2"/>
    <s v="Siena"/>
    <s v="Libri"/>
    <n v="604"/>
    <n v="1"/>
    <s v="Toscana"/>
    <s v="SI"/>
    <x v="1"/>
    <n v="83"/>
  </r>
  <r>
    <n v="14"/>
    <x v="13"/>
    <x v="4"/>
    <s v="Potenza"/>
    <s v="Giocattoli"/>
    <n v="856"/>
    <n v="3"/>
    <s v="Basilicata"/>
    <s v="PZ"/>
    <x v="3"/>
    <n v="84"/>
  </r>
  <r>
    <n v="15"/>
    <x v="14"/>
    <x v="1"/>
    <s v="Reggio nell'Emilia"/>
    <s v="Giocattoli"/>
    <n v="833"/>
    <n v="3"/>
    <s v="Emilia-Romagna"/>
    <s v="RE"/>
    <x v="0"/>
    <n v="87"/>
  </r>
  <r>
    <n v="16"/>
    <x v="15"/>
    <x v="4"/>
    <s v="Treviso"/>
    <s v="Art. Regalo"/>
    <n v="1782"/>
    <n v="2"/>
    <s v="Veneto"/>
    <s v="TV"/>
    <x v="0"/>
    <n v="84"/>
  </r>
  <r>
    <n v="17"/>
    <x v="16"/>
    <x v="1"/>
    <s v="Pavia"/>
    <s v="Giocattoli"/>
    <n v="1428"/>
    <n v="5"/>
    <s v="Lombardia"/>
    <s v="PV"/>
    <x v="0"/>
    <n v="87"/>
  </r>
  <r>
    <n v="18"/>
    <x v="17"/>
    <x v="1"/>
    <s v="Savona"/>
    <s v="Informatica"/>
    <n v="1677"/>
    <n v="5"/>
    <s v="Liguria"/>
    <s v="SV"/>
    <x v="0"/>
    <n v="87"/>
  </r>
  <r>
    <n v="19"/>
    <x v="18"/>
    <x v="5"/>
    <s v="Rimini"/>
    <s v="Art. Regalo"/>
    <n v="1514"/>
    <n v="2"/>
    <s v="Emilia-Romagna"/>
    <s v="RN"/>
    <x v="0"/>
    <n v="80"/>
  </r>
  <r>
    <n v="20"/>
    <x v="19"/>
    <x v="3"/>
    <s v="Venezia"/>
    <s v="Giocattoli"/>
    <n v="459"/>
    <n v="3"/>
    <s v="Veneto"/>
    <s v="VE"/>
    <x v="0"/>
    <n v="96"/>
  </r>
  <r>
    <n v="21"/>
    <x v="20"/>
    <x v="4"/>
    <s v="Vercelli"/>
    <s v="Cancelleria"/>
    <n v="344"/>
    <n v="2"/>
    <s v="Piemonte"/>
    <s v="VC"/>
    <x v="0"/>
    <n v="84"/>
  </r>
  <r>
    <n v="22"/>
    <x v="21"/>
    <x v="0"/>
    <s v="Verona"/>
    <s v="Giocattoli"/>
    <n v="10"/>
    <n v="4"/>
    <s v="Veneto"/>
    <s v="VR"/>
    <x v="0"/>
    <n v="70"/>
  </r>
  <r>
    <n v="23"/>
    <x v="22"/>
    <x v="3"/>
    <s v="Rovigo"/>
    <s v="Informatica"/>
    <n v="1582"/>
    <n v="3"/>
    <s v="Veneto"/>
    <s v="RO"/>
    <x v="0"/>
    <n v="96"/>
  </r>
  <r>
    <n v="24"/>
    <x v="2"/>
    <x v="2"/>
    <s v="Trapani"/>
    <s v="Giocattoli"/>
    <n v="1072"/>
    <n v="5"/>
    <s v="Sicilia"/>
    <s v="TP"/>
    <x v="2"/>
    <n v="83"/>
  </r>
  <r>
    <n v="25"/>
    <x v="19"/>
    <x v="3"/>
    <s v="Sondrio"/>
    <s v="Giocattoli"/>
    <n v="1793"/>
    <n v="5"/>
    <s v="Lombardia"/>
    <s v="SO"/>
    <x v="0"/>
    <n v="96"/>
  </r>
  <r>
    <n v="26"/>
    <x v="23"/>
    <x v="0"/>
    <s v="Rimini"/>
    <s v="Cancelleria"/>
    <n v="1039"/>
    <n v="1"/>
    <s v="Emilia-Romagna"/>
    <s v="RN"/>
    <x v="0"/>
    <n v="70"/>
  </r>
  <r>
    <n v="27"/>
    <x v="24"/>
    <x v="0"/>
    <s v="Vicenza"/>
    <s v="Art. Regalo"/>
    <n v="1114"/>
    <n v="5"/>
    <s v="Veneto"/>
    <s v="VI"/>
    <x v="0"/>
    <n v="70"/>
  </r>
  <r>
    <n v="28"/>
    <x v="25"/>
    <x v="2"/>
    <s v="Pistoia"/>
    <s v="Cancelleria"/>
    <n v="643"/>
    <n v="1"/>
    <s v="Toscana"/>
    <s v="PT"/>
    <x v="1"/>
    <n v="83"/>
  </r>
  <r>
    <n v="29"/>
    <x v="26"/>
    <x v="5"/>
    <s v="Reggio nell'Emilia"/>
    <s v="Cancelleria"/>
    <n v="328"/>
    <n v="4"/>
    <s v="Emilia-Romagna"/>
    <s v="RE"/>
    <x v="0"/>
    <n v="80"/>
  </r>
  <r>
    <n v="30"/>
    <x v="27"/>
    <x v="1"/>
    <s v="Pesaro e Urbino"/>
    <s v="Art. Regalo"/>
    <n v="95"/>
    <n v="3"/>
    <s v="Marche"/>
    <s v="PS"/>
    <x v="1"/>
    <n v="87"/>
  </r>
  <r>
    <n v="31"/>
    <x v="28"/>
    <x v="1"/>
    <s v="Treviso"/>
    <s v="Libri"/>
    <n v="270"/>
    <n v="5"/>
    <s v="Veneto"/>
    <s v="TV"/>
    <x v="0"/>
    <n v="87"/>
  </r>
  <r>
    <n v="32"/>
    <x v="29"/>
    <x v="0"/>
    <s v="Sassari"/>
    <s v="Art. Regalo"/>
    <n v="1640"/>
    <n v="5"/>
    <s v="Sardegna"/>
    <s v="SS"/>
    <x v="2"/>
    <n v="70"/>
  </r>
  <r>
    <n v="33"/>
    <x v="30"/>
    <x v="5"/>
    <s v="Trento"/>
    <s v="Cancelleria"/>
    <n v="759"/>
    <n v="2"/>
    <s v="Trentino-Alto Adige"/>
    <s v="TN"/>
    <x v="0"/>
    <n v="80"/>
  </r>
  <r>
    <n v="34"/>
    <x v="31"/>
    <x v="2"/>
    <s v="Trapani"/>
    <s v="Informatica"/>
    <n v="1288"/>
    <n v="1"/>
    <s v="Sicilia"/>
    <s v="TP"/>
    <x v="2"/>
    <n v="83"/>
  </r>
  <r>
    <n v="35"/>
    <x v="32"/>
    <x v="2"/>
    <s v="Viterbo"/>
    <s v="Libri"/>
    <n v="1857"/>
    <n v="3"/>
    <s v="Lazio"/>
    <s v="VT"/>
    <x v="1"/>
    <n v="83"/>
  </r>
  <r>
    <n v="36"/>
    <x v="33"/>
    <x v="5"/>
    <s v="Torino"/>
    <s v="Giocattoli"/>
    <n v="1558"/>
    <n v="3"/>
    <s v="Piemonte"/>
    <s v="TO"/>
    <x v="0"/>
    <n v="80"/>
  </r>
  <r>
    <n v="37"/>
    <x v="34"/>
    <x v="5"/>
    <s v="Potenza"/>
    <s v="Giocattoli"/>
    <n v="1879"/>
    <n v="3"/>
    <s v="Basilicata"/>
    <s v="PZ"/>
    <x v="3"/>
    <n v="80"/>
  </r>
  <r>
    <n v="38"/>
    <x v="35"/>
    <x v="0"/>
    <s v="Salerno"/>
    <s v="Informatica"/>
    <n v="155"/>
    <n v="1"/>
    <s v="Campania"/>
    <s v="SA"/>
    <x v="3"/>
    <n v="70"/>
  </r>
  <r>
    <n v="39"/>
    <x v="36"/>
    <x v="3"/>
    <s v="Sassari"/>
    <s v="Art. Regalo"/>
    <n v="1361"/>
    <n v="3"/>
    <s v="Sardegna"/>
    <s v="SS"/>
    <x v="2"/>
    <n v="96"/>
  </r>
  <r>
    <n v="40"/>
    <x v="37"/>
    <x v="0"/>
    <s v="Vicenza"/>
    <s v="Libri"/>
    <n v="735"/>
    <n v="5"/>
    <s v="Veneto"/>
    <s v="VI"/>
    <x v="0"/>
    <n v="70"/>
  </r>
  <r>
    <n v="41"/>
    <x v="12"/>
    <x v="3"/>
    <s v="Pisa"/>
    <s v="Cancelleria"/>
    <n v="1916"/>
    <n v="3"/>
    <s v="Toscana"/>
    <s v="PI"/>
    <x v="1"/>
    <n v="96"/>
  </r>
  <r>
    <n v="42"/>
    <x v="38"/>
    <x v="1"/>
    <s v="Vicenza"/>
    <s v="Libri"/>
    <n v="1747"/>
    <n v="5"/>
    <s v="Veneto"/>
    <s v="VI"/>
    <x v="0"/>
    <n v="87"/>
  </r>
  <r>
    <n v="43"/>
    <x v="39"/>
    <x v="3"/>
    <s v="Ragusa"/>
    <s v="Giocattoli"/>
    <n v="1313"/>
    <n v="4"/>
    <s v="Sicilia"/>
    <s v="RG"/>
    <x v="2"/>
    <n v="96"/>
  </r>
  <r>
    <n v="44"/>
    <x v="14"/>
    <x v="0"/>
    <s v="Savona"/>
    <s v="Libri"/>
    <n v="1260"/>
    <n v="4"/>
    <s v="Liguria"/>
    <s v="SV"/>
    <x v="0"/>
    <n v="70"/>
  </r>
  <r>
    <n v="45"/>
    <x v="40"/>
    <x v="5"/>
    <s v="Reggio nell'Emilia"/>
    <s v="Cancelleria"/>
    <n v="1484"/>
    <n v="2"/>
    <s v="Emilia-Romagna"/>
    <s v="RE"/>
    <x v="0"/>
    <n v="80"/>
  </r>
  <r>
    <n v="46"/>
    <x v="41"/>
    <x v="5"/>
    <s v="Potenza"/>
    <s v="Art. Regalo"/>
    <n v="1887"/>
    <n v="5"/>
    <s v="Basilicata"/>
    <s v="PZ"/>
    <x v="3"/>
    <n v="80"/>
  </r>
  <r>
    <n v="47"/>
    <x v="28"/>
    <x v="2"/>
    <s v="Vibo Valentia"/>
    <s v="Libri"/>
    <n v="1918"/>
    <n v="3"/>
    <s v="Calabria"/>
    <s v="VV"/>
    <x v="3"/>
    <n v="83"/>
  </r>
  <r>
    <n v="48"/>
    <x v="27"/>
    <x v="5"/>
    <s v="Verbano-Cusio-Ossola"/>
    <s v="Giocattoli"/>
    <n v="934"/>
    <n v="2"/>
    <s v="Piemonte"/>
    <s v="VB"/>
    <x v="0"/>
    <n v="80"/>
  </r>
  <r>
    <n v="49"/>
    <x v="42"/>
    <x v="4"/>
    <s v="Venezia"/>
    <s v="Cancelleria"/>
    <n v="503"/>
    <n v="5"/>
    <s v="Veneto"/>
    <s v="VE"/>
    <x v="0"/>
    <n v="84"/>
  </r>
  <r>
    <n v="50"/>
    <x v="2"/>
    <x v="3"/>
    <s v="Viterbo"/>
    <s v="Libri"/>
    <n v="590"/>
    <n v="4"/>
    <s v="Lazio"/>
    <s v="VT"/>
    <x v="1"/>
    <n v="96"/>
  </r>
  <r>
    <n v="51"/>
    <x v="43"/>
    <x v="0"/>
    <s v="Siena"/>
    <s v="Art. Regalo"/>
    <n v="1297"/>
    <n v="1"/>
    <s v="Toscana"/>
    <s v="SI"/>
    <x v="1"/>
    <n v="70"/>
  </r>
  <r>
    <n v="52"/>
    <x v="7"/>
    <x v="3"/>
    <s v="Terni"/>
    <s v="Cancelleria"/>
    <n v="67"/>
    <n v="2"/>
    <s v="Umbria"/>
    <s v="TR"/>
    <x v="1"/>
    <n v="96"/>
  </r>
  <r>
    <n v="53"/>
    <x v="44"/>
    <x v="0"/>
    <s v="Prato"/>
    <s v="Libri"/>
    <n v="1152"/>
    <n v="4"/>
    <s v="Toscana"/>
    <s v="PO"/>
    <x v="1"/>
    <n v="70"/>
  </r>
  <r>
    <n v="54"/>
    <x v="45"/>
    <x v="4"/>
    <s v="Pavia"/>
    <s v="Cancelleria"/>
    <n v="401"/>
    <n v="2"/>
    <s v="Lombardia"/>
    <s v="PV"/>
    <x v="0"/>
    <n v="84"/>
  </r>
  <r>
    <n v="55"/>
    <x v="46"/>
    <x v="3"/>
    <s v="Reggio di Calabria"/>
    <s v="Libri"/>
    <n v="596"/>
    <n v="3"/>
    <s v="Calabria"/>
    <s v="RC"/>
    <x v="3"/>
    <n v="96"/>
  </r>
  <r>
    <n v="56"/>
    <x v="47"/>
    <x v="2"/>
    <s v="Prato"/>
    <s v="Informatica"/>
    <n v="1724"/>
    <n v="4"/>
    <s v="Toscana"/>
    <s v="PO"/>
    <x v="1"/>
    <n v="83"/>
  </r>
  <r>
    <n v="57"/>
    <x v="48"/>
    <x v="5"/>
    <s v="Rimini"/>
    <s v="Informatica"/>
    <n v="721"/>
    <n v="3"/>
    <s v="Emilia-Romagna"/>
    <s v="RN"/>
    <x v="0"/>
    <n v="80"/>
  </r>
  <r>
    <n v="58"/>
    <x v="49"/>
    <x v="1"/>
    <s v="Piacenza"/>
    <s v="Art. Regalo"/>
    <n v="939"/>
    <n v="3"/>
    <s v="Emilia-Romagna"/>
    <s v="PC"/>
    <x v="0"/>
    <n v="87"/>
  </r>
  <r>
    <n v="59"/>
    <x v="50"/>
    <x v="3"/>
    <s v="Vercelli"/>
    <s v="Giocattoli"/>
    <n v="443"/>
    <n v="5"/>
    <s v="Piemonte"/>
    <s v="VC"/>
    <x v="0"/>
    <n v="96"/>
  </r>
  <r>
    <n v="60"/>
    <x v="51"/>
    <x v="1"/>
    <s v="Reggio di Calabria"/>
    <s v="Giocattoli"/>
    <n v="986"/>
    <n v="5"/>
    <s v="Calabria"/>
    <s v="RC"/>
    <x v="3"/>
    <n v="87"/>
  </r>
  <r>
    <n v="61"/>
    <x v="52"/>
    <x v="4"/>
    <s v="Reggio nell'Emilia"/>
    <s v="Cancelleria"/>
    <n v="90"/>
    <n v="1"/>
    <s v="Emilia-Romagna"/>
    <s v="RE"/>
    <x v="0"/>
    <n v="84"/>
  </r>
  <r>
    <n v="62"/>
    <x v="24"/>
    <x v="0"/>
    <s v="Viterbo"/>
    <s v="Cancelleria"/>
    <n v="32"/>
    <n v="5"/>
    <s v="Lazio"/>
    <s v="VT"/>
    <x v="1"/>
    <n v="70"/>
  </r>
  <r>
    <n v="63"/>
    <x v="53"/>
    <x v="0"/>
    <s v="Treviso"/>
    <s v="Giocattoli"/>
    <n v="968"/>
    <n v="1"/>
    <s v="Veneto"/>
    <s v="TV"/>
    <x v="0"/>
    <n v="70"/>
  </r>
  <r>
    <n v="64"/>
    <x v="54"/>
    <x v="2"/>
    <s v="Sondrio"/>
    <s v="Art. Regalo"/>
    <n v="772"/>
    <n v="2"/>
    <s v="Lombardia"/>
    <s v="SO"/>
    <x v="0"/>
    <n v="83"/>
  </r>
  <r>
    <n v="65"/>
    <x v="55"/>
    <x v="5"/>
    <s v="Trapani"/>
    <s v="Informatica"/>
    <n v="1838"/>
    <n v="3"/>
    <s v="Sicilia"/>
    <s v="TP"/>
    <x v="2"/>
    <n v="80"/>
  </r>
  <r>
    <n v="66"/>
    <x v="21"/>
    <x v="1"/>
    <s v="Sondrio"/>
    <s v="Giocattoli"/>
    <n v="191"/>
    <n v="1"/>
    <s v="Lombardia"/>
    <s v="SO"/>
    <x v="0"/>
    <n v="87"/>
  </r>
  <r>
    <n v="67"/>
    <x v="56"/>
    <x v="0"/>
    <s v="Verbano-Cusio-Ossola"/>
    <s v="Art. Regalo"/>
    <n v="1334"/>
    <n v="1"/>
    <s v="Piemonte"/>
    <s v="VB"/>
    <x v="0"/>
    <n v="70"/>
  </r>
  <r>
    <n v="68"/>
    <x v="57"/>
    <x v="3"/>
    <s v="Torino"/>
    <s v="Informatica"/>
    <n v="1707"/>
    <n v="4"/>
    <s v="Piemonte"/>
    <s v="TO"/>
    <x v="0"/>
    <n v="96"/>
  </r>
  <r>
    <n v="69"/>
    <x v="13"/>
    <x v="3"/>
    <s v="Rimini"/>
    <s v="Libri"/>
    <n v="897"/>
    <n v="2"/>
    <s v="Emilia-Romagna"/>
    <s v="RN"/>
    <x v="0"/>
    <n v="96"/>
  </r>
  <r>
    <n v="70"/>
    <x v="58"/>
    <x v="3"/>
    <s v="Teramo"/>
    <s v="Informatica"/>
    <n v="816"/>
    <n v="1"/>
    <s v="Abruzzo"/>
    <s v="TE"/>
    <x v="1"/>
    <n v="96"/>
  </r>
  <r>
    <n v="71"/>
    <x v="59"/>
    <x v="1"/>
    <s v="Vibo Valentia"/>
    <s v="Libri"/>
    <n v="1049"/>
    <n v="3"/>
    <s v="Calabria"/>
    <s v="VV"/>
    <x v="3"/>
    <n v="87"/>
  </r>
  <r>
    <n v="72"/>
    <x v="60"/>
    <x v="3"/>
    <s v="Perugia"/>
    <s v="Libri"/>
    <n v="1037"/>
    <n v="4"/>
    <s v="Umbria"/>
    <s v="PG"/>
    <x v="1"/>
    <n v="96"/>
  </r>
  <r>
    <n v="73"/>
    <x v="6"/>
    <x v="1"/>
    <s v="Pordenone"/>
    <s v="Giocattoli"/>
    <n v="1235"/>
    <n v="3"/>
    <s v="Friuli-Venezia Giulia"/>
    <s v="PN"/>
    <x v="0"/>
    <n v="87"/>
  </r>
  <r>
    <n v="74"/>
    <x v="17"/>
    <x v="4"/>
    <s v="Udine"/>
    <s v="Cancelleria"/>
    <n v="294"/>
    <n v="3"/>
    <s v="Friuli-Venezia Giulia"/>
    <s v="UD"/>
    <x v="0"/>
    <n v="84"/>
  </r>
  <r>
    <n v="75"/>
    <x v="61"/>
    <x v="5"/>
    <s v="Varese"/>
    <s v="Giocattoli"/>
    <n v="785"/>
    <n v="4"/>
    <s v="Lombardia"/>
    <s v="VA"/>
    <x v="0"/>
    <n v="80"/>
  </r>
  <r>
    <n v="76"/>
    <x v="25"/>
    <x v="1"/>
    <s v="Pesaro e Urbino"/>
    <s v="Cancelleria"/>
    <n v="568"/>
    <n v="4"/>
    <s v="Marche"/>
    <s v="PS"/>
    <x v="1"/>
    <n v="87"/>
  </r>
  <r>
    <n v="77"/>
    <x v="62"/>
    <x v="1"/>
    <s v="Torino"/>
    <s v="Art. Regalo"/>
    <n v="1932"/>
    <n v="3"/>
    <s v="Piemonte"/>
    <s v="TO"/>
    <x v="0"/>
    <n v="87"/>
  </r>
  <r>
    <n v="78"/>
    <x v="62"/>
    <x v="0"/>
    <s v="Pistoia"/>
    <s v="Informatica"/>
    <n v="1124"/>
    <n v="4"/>
    <s v="Toscana"/>
    <s v="PT"/>
    <x v="1"/>
    <n v="70"/>
  </r>
  <r>
    <n v="79"/>
    <x v="63"/>
    <x v="3"/>
    <s v="Sondrio"/>
    <s v="Cancelleria"/>
    <n v="920"/>
    <n v="1"/>
    <s v="Lombardia"/>
    <s v="SO"/>
    <x v="0"/>
    <n v="96"/>
  </r>
  <r>
    <n v="80"/>
    <x v="64"/>
    <x v="0"/>
    <s v="Pavia"/>
    <s v="Art. Regalo"/>
    <n v="44"/>
    <n v="1"/>
    <s v="Lombardia"/>
    <s v="PV"/>
    <x v="0"/>
    <n v="70"/>
  </r>
  <r>
    <n v="81"/>
    <x v="16"/>
    <x v="0"/>
    <s v="Piacenza"/>
    <s v="Art. Regalo"/>
    <n v="1261"/>
    <n v="1"/>
    <s v="Emilia-Romagna"/>
    <s v="PC"/>
    <x v="0"/>
    <n v="70"/>
  </r>
  <r>
    <n v="82"/>
    <x v="65"/>
    <x v="2"/>
    <s v="Reggio nell'Emilia"/>
    <s v="Cancelleria"/>
    <n v="1283"/>
    <n v="4"/>
    <s v="Emilia-Romagna"/>
    <s v="RE"/>
    <x v="0"/>
    <n v="83"/>
  </r>
  <r>
    <n v="83"/>
    <x v="46"/>
    <x v="5"/>
    <s v="Roma"/>
    <s v="Informatica"/>
    <n v="311"/>
    <n v="2"/>
    <s v="Lazio"/>
    <s v="RM"/>
    <x v="1"/>
    <n v="80"/>
  </r>
  <r>
    <n v="84"/>
    <x v="35"/>
    <x v="3"/>
    <s v="Siracusa"/>
    <s v="Informatica"/>
    <n v="1164"/>
    <n v="5"/>
    <s v="Sicilia"/>
    <s v="SR"/>
    <x v="2"/>
    <n v="96"/>
  </r>
  <r>
    <n v="85"/>
    <x v="66"/>
    <x v="4"/>
    <s v="Reggio di Calabria"/>
    <s v="Libri"/>
    <n v="1129"/>
    <n v="3"/>
    <s v="Calabria"/>
    <s v="RC"/>
    <x v="3"/>
    <n v="84"/>
  </r>
  <r>
    <n v="86"/>
    <x v="67"/>
    <x v="0"/>
    <s v="Savona"/>
    <s v="Libri"/>
    <n v="1965"/>
    <n v="3"/>
    <s v="Liguria"/>
    <s v="SV"/>
    <x v="0"/>
    <n v="70"/>
  </r>
  <r>
    <n v="87"/>
    <x v="68"/>
    <x v="5"/>
    <s v="Verona"/>
    <s v="Informatica"/>
    <n v="1812"/>
    <n v="3"/>
    <s v="Veneto"/>
    <s v="VR"/>
    <x v="0"/>
    <n v="80"/>
  </r>
  <r>
    <n v="88"/>
    <x v="44"/>
    <x v="3"/>
    <s v="Reggio nell'Emilia"/>
    <s v="Cancelleria"/>
    <n v="1884"/>
    <n v="4"/>
    <s v="Emilia-Romagna"/>
    <s v="RE"/>
    <x v="0"/>
    <n v="96"/>
  </r>
  <r>
    <n v="89"/>
    <x v="47"/>
    <x v="5"/>
    <s v="Salerno"/>
    <s v="Art. Regalo"/>
    <n v="1812"/>
    <n v="4"/>
    <s v="Campania"/>
    <s v="SA"/>
    <x v="3"/>
    <n v="80"/>
  </r>
  <r>
    <n v="90"/>
    <x v="69"/>
    <x v="5"/>
    <s v="Pavia"/>
    <s v="Art. Regalo"/>
    <n v="76"/>
    <n v="3"/>
    <s v="Lombardia"/>
    <s v="PV"/>
    <x v="0"/>
    <n v="80"/>
  </r>
  <r>
    <n v="91"/>
    <x v="70"/>
    <x v="4"/>
    <s v="Rieti"/>
    <s v="Art. Regalo"/>
    <n v="1827"/>
    <n v="3"/>
    <s v="Lazio"/>
    <s v="RI"/>
    <x v="1"/>
    <n v="84"/>
  </r>
  <r>
    <n v="92"/>
    <x v="61"/>
    <x v="3"/>
    <s v="Treviso"/>
    <s v="Libri"/>
    <n v="491"/>
    <n v="4"/>
    <s v="Veneto"/>
    <s v="TV"/>
    <x v="0"/>
    <n v="96"/>
  </r>
  <r>
    <n v="93"/>
    <x v="71"/>
    <x v="0"/>
    <s v="Viterbo"/>
    <s v="Art. Regalo"/>
    <n v="1965"/>
    <n v="4"/>
    <s v="Lazio"/>
    <s v="VT"/>
    <x v="1"/>
    <n v="70"/>
  </r>
  <r>
    <n v="94"/>
    <x v="54"/>
    <x v="2"/>
    <s v="Vibo Valentia"/>
    <s v="Art. Regalo"/>
    <n v="862"/>
    <n v="5"/>
    <s v="Calabria"/>
    <s v="VV"/>
    <x v="3"/>
    <n v="83"/>
  </r>
  <r>
    <n v="95"/>
    <x v="72"/>
    <x v="1"/>
    <s v="Verona"/>
    <s v="Giocattoli"/>
    <n v="403"/>
    <n v="3"/>
    <s v="Veneto"/>
    <s v="VR"/>
    <x v="0"/>
    <n v="87"/>
  </r>
  <r>
    <n v="96"/>
    <x v="73"/>
    <x v="3"/>
    <s v="Piacenza"/>
    <s v="Libri"/>
    <n v="217"/>
    <n v="1"/>
    <s v="Emilia-Romagna"/>
    <s v="PC"/>
    <x v="0"/>
    <n v="96"/>
  </r>
  <r>
    <n v="97"/>
    <x v="66"/>
    <x v="4"/>
    <s v="Reggio di Calabria"/>
    <s v="Cancelleria"/>
    <n v="1450"/>
    <n v="4"/>
    <s v="Calabria"/>
    <s v="RC"/>
    <x v="3"/>
    <n v="84"/>
  </r>
  <r>
    <n v="98"/>
    <x v="74"/>
    <x v="0"/>
    <s v="Pescara"/>
    <s v="Informatica"/>
    <n v="549"/>
    <n v="3"/>
    <s v="Abruzzo"/>
    <s v="PE"/>
    <x v="1"/>
    <n v="70"/>
  </r>
  <r>
    <n v="99"/>
    <x v="55"/>
    <x v="1"/>
    <s v="Pisa"/>
    <s v="Cancelleria"/>
    <n v="1829"/>
    <n v="5"/>
    <s v="Toscana"/>
    <s v="PI"/>
    <x v="1"/>
    <n v="87"/>
  </r>
  <r>
    <n v="100"/>
    <x v="75"/>
    <x v="5"/>
    <s v="Pistoia"/>
    <s v="Informatica"/>
    <n v="411"/>
    <n v="1"/>
    <s v="Toscana"/>
    <s v="PT"/>
    <x v="1"/>
    <n v="80"/>
  </r>
  <r>
    <n v="101"/>
    <x v="76"/>
    <x v="2"/>
    <s v="Terni"/>
    <s v="Giocattoli"/>
    <n v="146"/>
    <n v="1"/>
    <s v="Umbria"/>
    <s v="TR"/>
    <x v="1"/>
    <n v="83"/>
  </r>
  <r>
    <n v="102"/>
    <x v="13"/>
    <x v="4"/>
    <s v="Salerno"/>
    <s v="Libri"/>
    <n v="1890"/>
    <n v="2"/>
    <s v="Campania"/>
    <s v="SA"/>
    <x v="3"/>
    <n v="84"/>
  </r>
  <r>
    <n v="103"/>
    <x v="77"/>
    <x v="3"/>
    <s v="Ravenna"/>
    <s v="Libri"/>
    <n v="826"/>
    <n v="5"/>
    <s v="Emilia-Romagna"/>
    <s v="RA"/>
    <x v="0"/>
    <n v="96"/>
  </r>
  <r>
    <n v="104"/>
    <x v="37"/>
    <x v="0"/>
    <s v="Pordenone"/>
    <s v="Informatica"/>
    <n v="1693"/>
    <n v="1"/>
    <s v="Friuli-Venezia Giulia"/>
    <s v="PN"/>
    <x v="0"/>
    <n v="70"/>
  </r>
  <r>
    <n v="105"/>
    <x v="78"/>
    <x v="1"/>
    <s v="Prato"/>
    <s v="Libri"/>
    <n v="1710"/>
    <n v="2"/>
    <s v="Toscana"/>
    <s v="PO"/>
    <x v="1"/>
    <n v="87"/>
  </r>
  <r>
    <n v="106"/>
    <x v="71"/>
    <x v="2"/>
    <s v="Pescara"/>
    <s v="Giocattoli"/>
    <n v="1921"/>
    <n v="5"/>
    <s v="Abruzzo"/>
    <s v="PE"/>
    <x v="1"/>
    <n v="83"/>
  </r>
  <r>
    <n v="107"/>
    <x v="79"/>
    <x v="2"/>
    <s v="Ravenna"/>
    <s v="Informatica"/>
    <n v="1427"/>
    <n v="4"/>
    <s v="Emilia-Romagna"/>
    <s v="RA"/>
    <x v="0"/>
    <n v="83"/>
  </r>
  <r>
    <n v="108"/>
    <x v="63"/>
    <x v="5"/>
    <s v="Viterbo"/>
    <s v="Libri"/>
    <n v="1205"/>
    <n v="5"/>
    <s v="Lazio"/>
    <s v="VT"/>
    <x v="1"/>
    <n v="80"/>
  </r>
  <r>
    <n v="109"/>
    <x v="69"/>
    <x v="1"/>
    <s v="Prato"/>
    <s v="Giocattoli"/>
    <n v="1697"/>
    <n v="1"/>
    <s v="Toscana"/>
    <s v="PO"/>
    <x v="1"/>
    <n v="87"/>
  </r>
  <r>
    <n v="110"/>
    <x v="80"/>
    <x v="3"/>
    <s v="Verona"/>
    <s v="Cancelleria"/>
    <n v="1576"/>
    <n v="5"/>
    <s v="Veneto"/>
    <s v="VR"/>
    <x v="0"/>
    <n v="96"/>
  </r>
  <r>
    <n v="111"/>
    <x v="42"/>
    <x v="5"/>
    <s v="Rimini"/>
    <s v="Art. Regalo"/>
    <n v="1520"/>
    <n v="5"/>
    <s v="Emilia-Romagna"/>
    <s v="RN"/>
    <x v="0"/>
    <n v="80"/>
  </r>
  <r>
    <n v="112"/>
    <x v="81"/>
    <x v="2"/>
    <s v="Terni"/>
    <s v="Art. Regalo"/>
    <n v="115"/>
    <n v="1"/>
    <s v="Umbria"/>
    <s v="TR"/>
    <x v="1"/>
    <n v="83"/>
  </r>
  <r>
    <n v="113"/>
    <x v="70"/>
    <x v="0"/>
    <s v="Trapani"/>
    <s v="Cancelleria"/>
    <n v="898"/>
    <n v="2"/>
    <s v="Sicilia"/>
    <s v="TP"/>
    <x v="2"/>
    <n v="70"/>
  </r>
  <r>
    <n v="114"/>
    <x v="29"/>
    <x v="2"/>
    <s v="Terni"/>
    <s v="Cancelleria"/>
    <n v="1505"/>
    <n v="2"/>
    <s v="Umbria"/>
    <s v="TR"/>
    <x v="1"/>
    <n v="83"/>
  </r>
  <r>
    <n v="115"/>
    <x v="74"/>
    <x v="5"/>
    <s v="Trieste"/>
    <s v="Art. Regalo"/>
    <n v="977"/>
    <n v="5"/>
    <s v="Friuli-Venezia Giulia"/>
    <s v="TS"/>
    <x v="0"/>
    <n v="80"/>
  </r>
  <r>
    <n v="116"/>
    <x v="82"/>
    <x v="1"/>
    <s v="Rieti"/>
    <s v="Art. Regalo"/>
    <n v="724"/>
    <n v="1"/>
    <s v="Lazio"/>
    <s v="RI"/>
    <x v="1"/>
    <n v="87"/>
  </r>
  <r>
    <n v="117"/>
    <x v="6"/>
    <x v="0"/>
    <s v="Pistoia"/>
    <s v="Informatica"/>
    <n v="760"/>
    <n v="5"/>
    <s v="Toscana"/>
    <s v="PT"/>
    <x v="1"/>
    <n v="70"/>
  </r>
  <r>
    <n v="118"/>
    <x v="83"/>
    <x v="1"/>
    <s v="Pavia"/>
    <s v="Giocattoli"/>
    <n v="403"/>
    <n v="4"/>
    <s v="Lombardia"/>
    <s v="PV"/>
    <x v="0"/>
    <n v="87"/>
  </r>
  <r>
    <n v="119"/>
    <x v="84"/>
    <x v="0"/>
    <s v="Salerno"/>
    <s v="Art. Regalo"/>
    <n v="805"/>
    <n v="1"/>
    <s v="Campania"/>
    <s v="SA"/>
    <x v="3"/>
    <n v="70"/>
  </r>
  <r>
    <n v="120"/>
    <x v="58"/>
    <x v="0"/>
    <s v="Siena"/>
    <s v="Giocattoli"/>
    <n v="1908"/>
    <n v="5"/>
    <s v="Toscana"/>
    <s v="SI"/>
    <x v="1"/>
    <n v="70"/>
  </r>
  <r>
    <n v="121"/>
    <x v="72"/>
    <x v="4"/>
    <s v="Salerno"/>
    <s v="Libri"/>
    <n v="913"/>
    <n v="3"/>
    <s v="Campania"/>
    <s v="SA"/>
    <x v="3"/>
    <n v="84"/>
  </r>
  <r>
    <n v="122"/>
    <x v="85"/>
    <x v="2"/>
    <s v="Vercelli"/>
    <s v="Art. Regalo"/>
    <n v="1977"/>
    <n v="2"/>
    <s v="Piemonte"/>
    <s v="VC"/>
    <x v="0"/>
    <n v="83"/>
  </r>
  <r>
    <n v="123"/>
    <x v="86"/>
    <x v="3"/>
    <s v="Rimini"/>
    <s v="Informatica"/>
    <n v="1018"/>
    <n v="2"/>
    <s v="Emilia-Romagna"/>
    <s v="RN"/>
    <x v="0"/>
    <n v="96"/>
  </r>
  <r>
    <n v="124"/>
    <x v="78"/>
    <x v="5"/>
    <s v="Venezia"/>
    <s v="Art. Regalo"/>
    <n v="1658"/>
    <n v="2"/>
    <s v="Veneto"/>
    <s v="VE"/>
    <x v="0"/>
    <n v="80"/>
  </r>
  <r>
    <n v="125"/>
    <x v="75"/>
    <x v="2"/>
    <s v="Prato"/>
    <s v="Giocattoli"/>
    <n v="833"/>
    <n v="5"/>
    <s v="Toscana"/>
    <s v="PO"/>
    <x v="1"/>
    <n v="83"/>
  </r>
  <r>
    <n v="126"/>
    <x v="87"/>
    <x v="2"/>
    <s v="Vicenza"/>
    <s v="Libri"/>
    <n v="718"/>
    <n v="5"/>
    <s v="Veneto"/>
    <s v="VI"/>
    <x v="0"/>
    <n v="83"/>
  </r>
  <r>
    <n v="127"/>
    <x v="88"/>
    <x v="2"/>
    <s v="Verbano-Cusio-Ossola"/>
    <s v="Libri"/>
    <n v="515"/>
    <n v="3"/>
    <s v="Piemonte"/>
    <s v="VB"/>
    <x v="0"/>
    <n v="83"/>
  </r>
  <r>
    <n v="128"/>
    <x v="62"/>
    <x v="4"/>
    <s v="Viterbo"/>
    <s v="Giocattoli"/>
    <n v="259"/>
    <n v="3"/>
    <s v="Lazio"/>
    <s v="VT"/>
    <x v="1"/>
    <n v="84"/>
  </r>
  <r>
    <n v="129"/>
    <x v="89"/>
    <x v="2"/>
    <s v="Prato"/>
    <s v="Art. Regalo"/>
    <n v="660"/>
    <n v="4"/>
    <s v="Toscana"/>
    <s v="PO"/>
    <x v="1"/>
    <n v="83"/>
  </r>
  <r>
    <n v="130"/>
    <x v="90"/>
    <x v="3"/>
    <s v="Udine"/>
    <s v="Cancelleria"/>
    <n v="31"/>
    <n v="2"/>
    <s v="Friuli-Venezia Giulia"/>
    <s v="UD"/>
    <x v="0"/>
    <n v="96"/>
  </r>
  <r>
    <n v="131"/>
    <x v="91"/>
    <x v="1"/>
    <s v="Venezia"/>
    <s v="Giocattoli"/>
    <n v="1889"/>
    <n v="4"/>
    <s v="Veneto"/>
    <s v="VE"/>
    <x v="0"/>
    <n v="87"/>
  </r>
  <r>
    <n v="132"/>
    <x v="31"/>
    <x v="2"/>
    <s v="Roma"/>
    <s v="Cancelleria"/>
    <n v="1163"/>
    <n v="1"/>
    <s v="Lazio"/>
    <s v="RM"/>
    <x v="1"/>
    <n v="83"/>
  </r>
  <r>
    <n v="133"/>
    <x v="27"/>
    <x v="5"/>
    <s v="Rimini"/>
    <s v="Libri"/>
    <n v="1896"/>
    <n v="1"/>
    <s v="Emilia-Romagna"/>
    <s v="RN"/>
    <x v="0"/>
    <n v="80"/>
  </r>
  <r>
    <n v="134"/>
    <x v="80"/>
    <x v="1"/>
    <s v="Viterbo"/>
    <s v="Art. Regalo"/>
    <n v="175"/>
    <n v="1"/>
    <s v="Lazio"/>
    <s v="VT"/>
    <x v="1"/>
    <n v="87"/>
  </r>
  <r>
    <n v="135"/>
    <x v="2"/>
    <x v="2"/>
    <s v="Udine"/>
    <s v="Informatica"/>
    <n v="806"/>
    <n v="5"/>
    <s v="Friuli-Venezia Giulia"/>
    <s v="UD"/>
    <x v="0"/>
    <n v="83"/>
  </r>
  <r>
    <n v="136"/>
    <x v="92"/>
    <x v="3"/>
    <s v="Perugia"/>
    <s v="Art. Regalo"/>
    <n v="992"/>
    <n v="3"/>
    <s v="Umbria"/>
    <s v="PG"/>
    <x v="1"/>
    <n v="96"/>
  </r>
  <r>
    <n v="137"/>
    <x v="93"/>
    <x v="4"/>
    <s v="Verona"/>
    <s v="Cancelleria"/>
    <n v="885"/>
    <n v="2"/>
    <s v="Veneto"/>
    <s v="VR"/>
    <x v="0"/>
    <n v="84"/>
  </r>
  <r>
    <n v="138"/>
    <x v="44"/>
    <x v="1"/>
    <s v="Taranto"/>
    <s v="Informatica"/>
    <n v="502"/>
    <n v="2"/>
    <s v="Puglia"/>
    <s v="TA"/>
    <x v="3"/>
    <n v="87"/>
  </r>
  <r>
    <n v="139"/>
    <x v="47"/>
    <x v="0"/>
    <s v="Salerno"/>
    <s v="Giocattoli"/>
    <n v="71"/>
    <n v="3"/>
    <s v="Campania"/>
    <s v="SA"/>
    <x v="3"/>
    <n v="70"/>
  </r>
  <r>
    <n v="140"/>
    <x v="73"/>
    <x v="4"/>
    <s v="Sondrio"/>
    <s v="Libri"/>
    <n v="411"/>
    <n v="4"/>
    <s v="Lombardia"/>
    <s v="SO"/>
    <x v="0"/>
    <n v="84"/>
  </r>
  <r>
    <n v="141"/>
    <x v="94"/>
    <x v="1"/>
    <s v="Sassari"/>
    <s v="Libri"/>
    <n v="1343"/>
    <n v="2"/>
    <s v="Sardegna"/>
    <s v="SS"/>
    <x v="2"/>
    <n v="87"/>
  </r>
  <r>
    <n v="142"/>
    <x v="95"/>
    <x v="1"/>
    <s v="Teramo"/>
    <s v="Libri"/>
    <n v="1052"/>
    <n v="4"/>
    <s v="Abruzzo"/>
    <s v="TE"/>
    <x v="1"/>
    <n v="87"/>
  </r>
  <r>
    <n v="143"/>
    <x v="96"/>
    <x v="0"/>
    <s v="Vicenza"/>
    <s v="Informatica"/>
    <n v="993"/>
    <n v="4"/>
    <s v="Veneto"/>
    <s v="VI"/>
    <x v="0"/>
    <n v="70"/>
  </r>
  <r>
    <n v="144"/>
    <x v="21"/>
    <x v="2"/>
    <s v="Verona"/>
    <s v="Cancelleria"/>
    <n v="1404"/>
    <n v="3"/>
    <s v="Veneto"/>
    <s v="VR"/>
    <x v="0"/>
    <n v="83"/>
  </r>
  <r>
    <n v="145"/>
    <x v="70"/>
    <x v="4"/>
    <s v="Roma"/>
    <s v="Informatica"/>
    <n v="436"/>
    <n v="1"/>
    <s v="Lazio"/>
    <s v="RM"/>
    <x v="1"/>
    <n v="84"/>
  </r>
  <r>
    <n v="146"/>
    <x v="5"/>
    <x v="4"/>
    <s v="Trieste"/>
    <s v="Cancelleria"/>
    <n v="771"/>
    <n v="2"/>
    <s v="Friuli-Venezia Giulia"/>
    <s v="TS"/>
    <x v="0"/>
    <n v="84"/>
  </r>
  <r>
    <n v="147"/>
    <x v="60"/>
    <x v="5"/>
    <s v="Pordenone"/>
    <s v="Libri"/>
    <n v="503"/>
    <n v="5"/>
    <s v="Friuli-Venezia Giulia"/>
    <s v="PN"/>
    <x v="0"/>
    <n v="80"/>
  </r>
  <r>
    <n v="148"/>
    <x v="97"/>
    <x v="1"/>
    <s v="Reggio nell'Emilia"/>
    <s v="Informatica"/>
    <n v="1906"/>
    <n v="1"/>
    <s v="Emilia-Romagna"/>
    <s v="RE"/>
    <x v="0"/>
    <n v="87"/>
  </r>
  <r>
    <n v="149"/>
    <x v="41"/>
    <x v="4"/>
    <s v="Trapani"/>
    <s v="Informatica"/>
    <n v="1213"/>
    <n v="3"/>
    <s v="Sicilia"/>
    <s v="TP"/>
    <x v="2"/>
    <n v="84"/>
  </r>
  <r>
    <n v="150"/>
    <x v="44"/>
    <x v="2"/>
    <s v="Siena"/>
    <s v="Libri"/>
    <n v="1215"/>
    <n v="2"/>
    <s v="Toscana"/>
    <s v="SI"/>
    <x v="1"/>
    <n v="83"/>
  </r>
  <r>
    <n v="151"/>
    <x v="92"/>
    <x v="1"/>
    <s v="Verona"/>
    <s v="Art. Regalo"/>
    <n v="1186"/>
    <n v="1"/>
    <s v="Veneto"/>
    <s v="VR"/>
    <x v="0"/>
    <n v="87"/>
  </r>
  <r>
    <n v="152"/>
    <x v="82"/>
    <x v="0"/>
    <s v="Ragusa"/>
    <s v="Informatica"/>
    <n v="1616"/>
    <n v="2"/>
    <s v="Sicilia"/>
    <s v="RG"/>
    <x v="2"/>
    <n v="70"/>
  </r>
  <r>
    <n v="153"/>
    <x v="18"/>
    <x v="1"/>
    <s v="Sondrio"/>
    <s v="Cancelleria"/>
    <n v="1614"/>
    <n v="3"/>
    <s v="Lombardia"/>
    <s v="SO"/>
    <x v="0"/>
    <n v="87"/>
  </r>
  <r>
    <n v="154"/>
    <x v="98"/>
    <x v="5"/>
    <s v="Savona"/>
    <s v="Informatica"/>
    <n v="744"/>
    <n v="5"/>
    <s v="Liguria"/>
    <s v="SV"/>
    <x v="0"/>
    <n v="80"/>
  </r>
  <r>
    <n v="155"/>
    <x v="60"/>
    <x v="1"/>
    <s v="Varese"/>
    <s v="Art. Regalo"/>
    <n v="1277"/>
    <n v="1"/>
    <s v="Lombardia"/>
    <s v="VA"/>
    <x v="0"/>
    <n v="87"/>
  </r>
  <r>
    <n v="156"/>
    <x v="22"/>
    <x v="5"/>
    <s v="Ragusa"/>
    <s v="Cancelleria"/>
    <n v="1520"/>
    <n v="3"/>
    <s v="Sicilia"/>
    <s v="RG"/>
    <x v="2"/>
    <n v="80"/>
  </r>
  <r>
    <n v="157"/>
    <x v="99"/>
    <x v="1"/>
    <s v="Treviso"/>
    <s v="Cancelleria"/>
    <n v="254"/>
    <n v="2"/>
    <s v="Veneto"/>
    <s v="TV"/>
    <x v="0"/>
    <n v="87"/>
  </r>
  <r>
    <n v="158"/>
    <x v="100"/>
    <x v="0"/>
    <s v="Salerno"/>
    <s v="Giocattoli"/>
    <n v="253"/>
    <n v="3"/>
    <s v="Campania"/>
    <s v="SA"/>
    <x v="3"/>
    <n v="70"/>
  </r>
  <r>
    <n v="159"/>
    <x v="90"/>
    <x v="3"/>
    <s v="Pistoia"/>
    <s v="Giocattoli"/>
    <n v="1802"/>
    <n v="3"/>
    <s v="Toscana"/>
    <s v="PT"/>
    <x v="1"/>
    <n v="96"/>
  </r>
  <r>
    <n v="160"/>
    <x v="74"/>
    <x v="4"/>
    <s v="Vercelli"/>
    <s v="Libri"/>
    <n v="580"/>
    <n v="5"/>
    <s v="Piemonte"/>
    <s v="VC"/>
    <x v="0"/>
    <n v="84"/>
  </r>
  <r>
    <n v="161"/>
    <x v="75"/>
    <x v="0"/>
    <s v="Pordenone"/>
    <s v="Cancelleria"/>
    <n v="938"/>
    <n v="5"/>
    <s v="Friuli-Venezia Giulia"/>
    <s v="PN"/>
    <x v="0"/>
    <n v="70"/>
  </r>
  <r>
    <n v="162"/>
    <x v="101"/>
    <x v="5"/>
    <s v="Piacenza"/>
    <s v="Informatica"/>
    <n v="1390"/>
    <n v="4"/>
    <s v="Emilia-Romagna"/>
    <s v="PC"/>
    <x v="0"/>
    <n v="80"/>
  </r>
  <r>
    <n v="163"/>
    <x v="102"/>
    <x v="2"/>
    <s v="Reggio di Calabria"/>
    <s v="Informatica"/>
    <n v="1315"/>
    <n v="2"/>
    <s v="Calabria"/>
    <s v="RC"/>
    <x v="3"/>
    <n v="83"/>
  </r>
  <r>
    <n v="164"/>
    <x v="92"/>
    <x v="5"/>
    <s v="Savona"/>
    <s v="Libri"/>
    <n v="1670"/>
    <n v="3"/>
    <s v="Liguria"/>
    <s v="SV"/>
    <x v="0"/>
    <n v="80"/>
  </r>
  <r>
    <n v="165"/>
    <x v="103"/>
    <x v="5"/>
    <s v="Varese"/>
    <s v="Cancelleria"/>
    <n v="1691"/>
    <n v="3"/>
    <s v="Lombardia"/>
    <s v="VA"/>
    <x v="0"/>
    <n v="80"/>
  </r>
  <r>
    <n v="166"/>
    <x v="5"/>
    <x v="0"/>
    <s v="Rimini"/>
    <s v="Informatica"/>
    <n v="1313"/>
    <n v="3"/>
    <s v="Emilia-Romagna"/>
    <s v="RN"/>
    <x v="0"/>
    <n v="70"/>
  </r>
  <r>
    <n v="167"/>
    <x v="104"/>
    <x v="3"/>
    <s v="Pordenone"/>
    <s v="Informatica"/>
    <n v="789"/>
    <n v="4"/>
    <s v="Friuli-Venezia Giulia"/>
    <s v="PN"/>
    <x v="0"/>
    <n v="96"/>
  </r>
  <r>
    <n v="168"/>
    <x v="56"/>
    <x v="5"/>
    <s v="Teramo"/>
    <s v="Libri"/>
    <n v="135"/>
    <n v="5"/>
    <s v="Abruzzo"/>
    <s v="TE"/>
    <x v="1"/>
    <n v="80"/>
  </r>
  <r>
    <n v="169"/>
    <x v="105"/>
    <x v="1"/>
    <s v="Siracusa"/>
    <s v="Art. Regalo"/>
    <n v="1583"/>
    <n v="5"/>
    <s v="Sicilia"/>
    <s v="SR"/>
    <x v="2"/>
    <n v="87"/>
  </r>
  <r>
    <n v="170"/>
    <x v="106"/>
    <x v="4"/>
    <s v="Varese"/>
    <s v="Art. Regalo"/>
    <n v="1857"/>
    <n v="1"/>
    <s v="Lombardia"/>
    <s v="VA"/>
    <x v="0"/>
    <n v="84"/>
  </r>
  <r>
    <n v="171"/>
    <x v="5"/>
    <x v="0"/>
    <s v="Trieste"/>
    <s v="Informatica"/>
    <n v="1655"/>
    <n v="3"/>
    <s v="Friuli-Venezia Giulia"/>
    <s v="TS"/>
    <x v="0"/>
    <n v="70"/>
  </r>
  <r>
    <n v="172"/>
    <x v="12"/>
    <x v="5"/>
    <s v="Verona"/>
    <s v="Cancelleria"/>
    <n v="727"/>
    <n v="3"/>
    <s v="Veneto"/>
    <s v="VR"/>
    <x v="0"/>
    <n v="80"/>
  </r>
  <r>
    <n v="173"/>
    <x v="107"/>
    <x v="5"/>
    <s v="Pesaro e Urbino"/>
    <s v="Cancelleria"/>
    <n v="1637"/>
    <n v="3"/>
    <s v="Marche"/>
    <s v="PS"/>
    <x v="1"/>
    <n v="80"/>
  </r>
  <r>
    <n v="174"/>
    <x v="47"/>
    <x v="4"/>
    <s v="Piacenza"/>
    <s v="Informatica"/>
    <n v="456"/>
    <n v="5"/>
    <s v="Emilia-Romagna"/>
    <s v="PC"/>
    <x v="0"/>
    <n v="84"/>
  </r>
  <r>
    <n v="175"/>
    <x v="108"/>
    <x v="4"/>
    <s v="Treviso"/>
    <s v="Cancelleria"/>
    <n v="1109"/>
    <n v="5"/>
    <s v="Veneto"/>
    <s v="TV"/>
    <x v="0"/>
    <n v="84"/>
  </r>
  <r>
    <n v="176"/>
    <x v="70"/>
    <x v="3"/>
    <s v="Prato"/>
    <s v="Cancelleria"/>
    <n v="1593"/>
    <n v="4"/>
    <s v="Toscana"/>
    <s v="PO"/>
    <x v="1"/>
    <n v="96"/>
  </r>
  <r>
    <n v="177"/>
    <x v="26"/>
    <x v="5"/>
    <s v="Rovigo"/>
    <s v="Cancelleria"/>
    <n v="686"/>
    <n v="1"/>
    <s v="Veneto"/>
    <s v="RO"/>
    <x v="0"/>
    <n v="80"/>
  </r>
  <r>
    <n v="178"/>
    <x v="102"/>
    <x v="2"/>
    <s v="Siena"/>
    <s v="Libri"/>
    <n v="155"/>
    <n v="4"/>
    <s v="Toscana"/>
    <s v="SI"/>
    <x v="1"/>
    <n v="83"/>
  </r>
  <r>
    <n v="179"/>
    <x v="109"/>
    <x v="1"/>
    <s v="Siracusa"/>
    <s v="Art. Regalo"/>
    <n v="686"/>
    <n v="2"/>
    <s v="Sicilia"/>
    <s v="SR"/>
    <x v="2"/>
    <n v="87"/>
  </r>
  <r>
    <n v="180"/>
    <x v="66"/>
    <x v="1"/>
    <s v="Potenza"/>
    <s v="Art. Regalo"/>
    <n v="450"/>
    <n v="1"/>
    <s v="Basilicata"/>
    <s v="PZ"/>
    <x v="3"/>
    <n v="87"/>
  </r>
  <r>
    <n v="181"/>
    <x v="49"/>
    <x v="0"/>
    <s v="Torino"/>
    <s v="Cancelleria"/>
    <n v="478"/>
    <n v="4"/>
    <s v="Piemonte"/>
    <s v="TO"/>
    <x v="0"/>
    <n v="70"/>
  </r>
  <r>
    <n v="182"/>
    <x v="110"/>
    <x v="2"/>
    <s v="Sassari"/>
    <s v="Cancelleria"/>
    <n v="939"/>
    <n v="5"/>
    <s v="Sardegna"/>
    <s v="SS"/>
    <x v="2"/>
    <n v="83"/>
  </r>
  <r>
    <n v="183"/>
    <x v="77"/>
    <x v="5"/>
    <s v="Reggio di Calabria"/>
    <s v="Art. Regalo"/>
    <n v="1608"/>
    <n v="2"/>
    <s v="Calabria"/>
    <s v="RC"/>
    <x v="3"/>
    <n v="80"/>
  </r>
  <r>
    <n v="184"/>
    <x v="73"/>
    <x v="2"/>
    <s v="Varese"/>
    <s v="Libri"/>
    <n v="1791"/>
    <n v="2"/>
    <s v="Lombardia"/>
    <s v="VA"/>
    <x v="0"/>
    <n v="83"/>
  </r>
  <r>
    <n v="185"/>
    <x v="111"/>
    <x v="4"/>
    <s v="Vercelli"/>
    <s v="Cancelleria"/>
    <n v="371"/>
    <n v="2"/>
    <s v="Piemonte"/>
    <s v="VC"/>
    <x v="0"/>
    <n v="84"/>
  </r>
  <r>
    <n v="186"/>
    <x v="112"/>
    <x v="3"/>
    <s v="Reggio di Calabria"/>
    <s v="Cancelleria"/>
    <n v="1407"/>
    <n v="1"/>
    <s v="Calabria"/>
    <s v="RC"/>
    <x v="3"/>
    <n v="96"/>
  </r>
  <r>
    <n v="187"/>
    <x v="22"/>
    <x v="5"/>
    <s v="Vercelli"/>
    <s v="Libri"/>
    <n v="1909"/>
    <n v="4"/>
    <s v="Piemonte"/>
    <s v="VC"/>
    <x v="0"/>
    <n v="80"/>
  </r>
  <r>
    <n v="188"/>
    <x v="89"/>
    <x v="4"/>
    <s v="Perugia"/>
    <s v="Giocattoli"/>
    <n v="1715"/>
    <n v="2"/>
    <s v="Umbria"/>
    <s v="PG"/>
    <x v="1"/>
    <n v="84"/>
  </r>
  <r>
    <n v="189"/>
    <x v="67"/>
    <x v="5"/>
    <s v="Vibo Valentia"/>
    <s v="Cancelleria"/>
    <n v="1145"/>
    <n v="2"/>
    <s v="Calabria"/>
    <s v="VV"/>
    <x v="3"/>
    <n v="80"/>
  </r>
  <r>
    <n v="190"/>
    <x v="113"/>
    <x v="5"/>
    <s v="Potenza"/>
    <s v="Cancelleria"/>
    <n v="925"/>
    <n v="3"/>
    <s v="Basilicata"/>
    <s v="PZ"/>
    <x v="3"/>
    <n v="80"/>
  </r>
  <r>
    <n v="191"/>
    <x v="114"/>
    <x v="3"/>
    <s v="Verbano-Cusio-Ossola"/>
    <s v="Libri"/>
    <n v="547"/>
    <n v="5"/>
    <s v="Piemonte"/>
    <s v="VB"/>
    <x v="0"/>
    <n v="96"/>
  </r>
  <r>
    <n v="192"/>
    <x v="115"/>
    <x v="1"/>
    <s v="Terni"/>
    <s v="Giocattoli"/>
    <n v="1961"/>
    <n v="5"/>
    <s v="Umbria"/>
    <s v="TR"/>
    <x v="1"/>
    <n v="87"/>
  </r>
  <r>
    <n v="193"/>
    <x v="18"/>
    <x v="5"/>
    <s v="Trieste"/>
    <s v="Art. Regalo"/>
    <n v="184"/>
    <n v="5"/>
    <s v="Friuli-Venezia Giulia"/>
    <s v="TS"/>
    <x v="0"/>
    <n v="80"/>
  </r>
  <r>
    <n v="194"/>
    <x v="55"/>
    <x v="5"/>
    <s v="Ragusa"/>
    <s v="Libri"/>
    <n v="163"/>
    <n v="1"/>
    <s v="Sicilia"/>
    <s v="RG"/>
    <x v="2"/>
    <n v="80"/>
  </r>
  <r>
    <n v="195"/>
    <x v="52"/>
    <x v="3"/>
    <s v="Rieti"/>
    <s v="Art. Regalo"/>
    <n v="484"/>
    <n v="4"/>
    <s v="Lazio"/>
    <s v="RI"/>
    <x v="1"/>
    <n v="96"/>
  </r>
  <r>
    <n v="196"/>
    <x v="116"/>
    <x v="3"/>
    <s v="Pescara"/>
    <s v="Cancelleria"/>
    <n v="792"/>
    <n v="2"/>
    <s v="Abruzzo"/>
    <s v="PE"/>
    <x v="1"/>
    <n v="96"/>
  </r>
  <r>
    <n v="197"/>
    <x v="67"/>
    <x v="0"/>
    <s v="Savona"/>
    <s v="Art. Regalo"/>
    <n v="24"/>
    <n v="5"/>
    <s v="Liguria"/>
    <s v="SV"/>
    <x v="0"/>
    <n v="70"/>
  </r>
  <r>
    <n v="198"/>
    <x v="117"/>
    <x v="5"/>
    <s v="Verbano-Cusio-Ossola"/>
    <s v="Art. Regalo"/>
    <n v="705"/>
    <n v="3"/>
    <s v="Piemonte"/>
    <s v="VB"/>
    <x v="0"/>
    <n v="80"/>
  </r>
  <r>
    <n v="199"/>
    <x v="118"/>
    <x v="4"/>
    <s v="Sondrio"/>
    <s v="Libri"/>
    <n v="1288"/>
    <n v="1"/>
    <s v="Lombardia"/>
    <s v="SO"/>
    <x v="0"/>
    <n v="84"/>
  </r>
  <r>
    <n v="200"/>
    <x v="119"/>
    <x v="1"/>
    <s v="Reggio nell'Emilia"/>
    <s v="Giocattoli"/>
    <n v="956"/>
    <n v="2"/>
    <s v="Emilia-Romagna"/>
    <s v="RE"/>
    <x v="0"/>
    <n v="87"/>
  </r>
  <r>
    <n v="201"/>
    <x v="92"/>
    <x v="2"/>
    <s v="Venezia"/>
    <s v="Art. Regalo"/>
    <n v="1770"/>
    <n v="4"/>
    <s v="Veneto"/>
    <s v="VE"/>
    <x v="0"/>
    <n v="83"/>
  </r>
  <r>
    <n v="202"/>
    <x v="44"/>
    <x v="3"/>
    <s v="Savona"/>
    <s v="Cancelleria"/>
    <n v="1449"/>
    <n v="4"/>
    <s v="Liguria"/>
    <s v="SV"/>
    <x v="0"/>
    <n v="96"/>
  </r>
  <r>
    <n v="203"/>
    <x v="120"/>
    <x v="0"/>
    <s v="Verona"/>
    <s v="Giocattoli"/>
    <n v="1300"/>
    <n v="1"/>
    <s v="Veneto"/>
    <s v="VR"/>
    <x v="0"/>
    <n v="70"/>
  </r>
  <r>
    <n v="204"/>
    <x v="7"/>
    <x v="0"/>
    <s v="Pisa"/>
    <s v="Art. Regalo"/>
    <n v="1909"/>
    <n v="1"/>
    <s v="Toscana"/>
    <s v="PI"/>
    <x v="1"/>
    <n v="70"/>
  </r>
  <r>
    <n v="205"/>
    <x v="56"/>
    <x v="3"/>
    <s v="Savona"/>
    <s v="Art. Regalo"/>
    <n v="1006"/>
    <n v="3"/>
    <s v="Liguria"/>
    <s v="SV"/>
    <x v="0"/>
    <n v="96"/>
  </r>
  <r>
    <n v="206"/>
    <x v="54"/>
    <x v="1"/>
    <s v="Trento"/>
    <s v="Cancelleria"/>
    <n v="715"/>
    <n v="3"/>
    <s v="Trentino-Alto Adige"/>
    <s v="TN"/>
    <x v="0"/>
    <n v="87"/>
  </r>
  <r>
    <n v="207"/>
    <x v="46"/>
    <x v="2"/>
    <s v="Trapani"/>
    <s v="Cancelleria"/>
    <n v="296"/>
    <n v="2"/>
    <s v="Sicilia"/>
    <s v="TP"/>
    <x v="2"/>
    <n v="83"/>
  </r>
  <r>
    <n v="208"/>
    <x v="59"/>
    <x v="0"/>
    <s v="Rimini"/>
    <s v="Giocattoli"/>
    <n v="1079"/>
    <n v="2"/>
    <s v="Emilia-Romagna"/>
    <s v="RN"/>
    <x v="0"/>
    <n v="70"/>
  </r>
  <r>
    <n v="209"/>
    <x v="30"/>
    <x v="2"/>
    <s v="Rieti"/>
    <s v="Giocattoli"/>
    <n v="222"/>
    <n v="5"/>
    <s v="Lazio"/>
    <s v="RI"/>
    <x v="1"/>
    <n v="83"/>
  </r>
  <r>
    <n v="210"/>
    <x v="71"/>
    <x v="0"/>
    <s v="Treviso"/>
    <s v="Giocattoli"/>
    <n v="1433"/>
    <n v="5"/>
    <s v="Veneto"/>
    <s v="TV"/>
    <x v="0"/>
    <n v="70"/>
  </r>
  <r>
    <n v="211"/>
    <x v="121"/>
    <x v="3"/>
    <s v="Vicenza"/>
    <s v="Libri"/>
    <n v="1052"/>
    <n v="3"/>
    <s v="Veneto"/>
    <s v="VI"/>
    <x v="0"/>
    <n v="96"/>
  </r>
  <r>
    <n v="212"/>
    <x v="122"/>
    <x v="0"/>
    <s v="Pisa"/>
    <s v="Cancelleria"/>
    <n v="1917"/>
    <n v="3"/>
    <s v="Toscana"/>
    <s v="PI"/>
    <x v="1"/>
    <n v="70"/>
  </r>
  <r>
    <n v="213"/>
    <x v="123"/>
    <x v="4"/>
    <s v="Terni"/>
    <s v="Informatica"/>
    <n v="1973"/>
    <n v="1"/>
    <s v="Umbria"/>
    <s v="TR"/>
    <x v="1"/>
    <n v="84"/>
  </r>
  <r>
    <n v="214"/>
    <x v="8"/>
    <x v="4"/>
    <s v="Teramo"/>
    <s v="Libri"/>
    <n v="10"/>
    <n v="1"/>
    <s v="Abruzzo"/>
    <s v="TE"/>
    <x v="1"/>
    <n v="84"/>
  </r>
  <r>
    <n v="215"/>
    <x v="43"/>
    <x v="4"/>
    <s v="Trieste"/>
    <s v="Art. Regalo"/>
    <n v="328"/>
    <n v="1"/>
    <s v="Friuli-Venezia Giulia"/>
    <s v="TS"/>
    <x v="0"/>
    <n v="84"/>
  </r>
  <r>
    <n v="216"/>
    <x v="43"/>
    <x v="5"/>
    <s v="Savona"/>
    <s v="Libri"/>
    <n v="1425"/>
    <n v="4"/>
    <s v="Liguria"/>
    <s v="SV"/>
    <x v="0"/>
    <n v="80"/>
  </r>
  <r>
    <n v="217"/>
    <x v="81"/>
    <x v="1"/>
    <s v="Perugia"/>
    <s v="Informatica"/>
    <n v="833"/>
    <n v="2"/>
    <s v="Umbria"/>
    <s v="PG"/>
    <x v="1"/>
    <n v="87"/>
  </r>
  <r>
    <n v="218"/>
    <x v="73"/>
    <x v="4"/>
    <s v="Salerno"/>
    <s v="Libri"/>
    <n v="1656"/>
    <n v="5"/>
    <s v="Campania"/>
    <s v="SA"/>
    <x v="3"/>
    <n v="84"/>
  </r>
  <r>
    <n v="219"/>
    <x v="95"/>
    <x v="2"/>
    <s v="Terni"/>
    <s v="Giocattoli"/>
    <n v="1792"/>
    <n v="4"/>
    <s v="Umbria"/>
    <s v="TR"/>
    <x v="1"/>
    <n v="83"/>
  </r>
  <r>
    <n v="220"/>
    <x v="12"/>
    <x v="3"/>
    <s v="Reggio di Calabria"/>
    <s v="Giocattoli"/>
    <n v="454"/>
    <n v="1"/>
    <s v="Calabria"/>
    <s v="RC"/>
    <x v="3"/>
    <n v="96"/>
  </r>
  <r>
    <n v="221"/>
    <x v="78"/>
    <x v="2"/>
    <s v="Savona"/>
    <s v="Informatica"/>
    <n v="1337"/>
    <n v="2"/>
    <s v="Liguria"/>
    <s v="SV"/>
    <x v="0"/>
    <n v="83"/>
  </r>
  <r>
    <n v="222"/>
    <x v="124"/>
    <x v="3"/>
    <s v="Perugia"/>
    <s v="Art. Regalo"/>
    <n v="986"/>
    <n v="4"/>
    <s v="Umbria"/>
    <s v="PG"/>
    <x v="1"/>
    <n v="96"/>
  </r>
  <r>
    <n v="223"/>
    <x v="111"/>
    <x v="1"/>
    <s v="Varese"/>
    <s v="Libri"/>
    <n v="348"/>
    <n v="2"/>
    <s v="Lombardia"/>
    <s v="VA"/>
    <x v="0"/>
    <n v="87"/>
  </r>
  <r>
    <n v="224"/>
    <x v="125"/>
    <x v="4"/>
    <s v="Trento"/>
    <s v="Cancelleria"/>
    <n v="582"/>
    <n v="3"/>
    <s v="Trentino-Alto Adige"/>
    <s v="TN"/>
    <x v="0"/>
    <n v="84"/>
  </r>
  <r>
    <n v="225"/>
    <x v="57"/>
    <x v="3"/>
    <s v="Potenza"/>
    <s v="Art. Regalo"/>
    <n v="634"/>
    <n v="2"/>
    <s v="Basilicata"/>
    <s v="PZ"/>
    <x v="3"/>
    <n v="96"/>
  </r>
  <r>
    <n v="226"/>
    <x v="68"/>
    <x v="2"/>
    <s v="Sassari"/>
    <s v="Cancelleria"/>
    <n v="282"/>
    <n v="3"/>
    <s v="Sardegna"/>
    <s v="SS"/>
    <x v="2"/>
    <n v="83"/>
  </r>
  <r>
    <n v="227"/>
    <x v="86"/>
    <x v="1"/>
    <s v="Pisa"/>
    <s v="Art. Regalo"/>
    <n v="481"/>
    <n v="4"/>
    <s v="Toscana"/>
    <s v="PI"/>
    <x v="1"/>
    <n v="87"/>
  </r>
  <r>
    <n v="228"/>
    <x v="97"/>
    <x v="2"/>
    <s v="Rovigo"/>
    <s v="Giocattoli"/>
    <n v="1441"/>
    <n v="5"/>
    <s v="Veneto"/>
    <s v="RO"/>
    <x v="0"/>
    <n v="83"/>
  </r>
  <r>
    <n v="229"/>
    <x v="49"/>
    <x v="1"/>
    <s v="Savona"/>
    <s v="Giocattoli"/>
    <n v="808"/>
    <n v="4"/>
    <s v="Liguria"/>
    <s v="SV"/>
    <x v="0"/>
    <n v="87"/>
  </r>
  <r>
    <n v="230"/>
    <x v="99"/>
    <x v="1"/>
    <s v="Venezia"/>
    <s v="Informatica"/>
    <n v="1874"/>
    <n v="5"/>
    <s v="Veneto"/>
    <s v="VE"/>
    <x v="0"/>
    <n v="87"/>
  </r>
  <r>
    <n v="231"/>
    <x v="39"/>
    <x v="4"/>
    <s v="Potenza"/>
    <s v="Libri"/>
    <n v="965"/>
    <n v="1"/>
    <s v="Basilicata"/>
    <s v="PZ"/>
    <x v="3"/>
    <n v="84"/>
  </r>
  <r>
    <n v="232"/>
    <x v="50"/>
    <x v="4"/>
    <s v="Ravenna"/>
    <s v="Cancelleria"/>
    <n v="93"/>
    <n v="1"/>
    <s v="Emilia-Romagna"/>
    <s v="RA"/>
    <x v="0"/>
    <n v="84"/>
  </r>
  <r>
    <n v="233"/>
    <x v="65"/>
    <x v="2"/>
    <s v="Trento"/>
    <s v="Giocattoli"/>
    <n v="1774"/>
    <n v="3"/>
    <s v="Trentino-Alto Adige"/>
    <s v="TN"/>
    <x v="0"/>
    <n v="83"/>
  </r>
  <r>
    <n v="234"/>
    <x v="90"/>
    <x v="4"/>
    <s v="Torino"/>
    <s v="Art. Regalo"/>
    <n v="217"/>
    <n v="5"/>
    <s v="Piemonte"/>
    <s v="TO"/>
    <x v="0"/>
    <n v="84"/>
  </r>
  <r>
    <n v="235"/>
    <x v="29"/>
    <x v="3"/>
    <s v="Vercelli"/>
    <s v="Cancelleria"/>
    <n v="737"/>
    <n v="3"/>
    <s v="Piemonte"/>
    <s v="VC"/>
    <x v="0"/>
    <n v="96"/>
  </r>
  <r>
    <n v="236"/>
    <x v="126"/>
    <x v="4"/>
    <s v="Verona"/>
    <s v="Art. Regalo"/>
    <n v="1154"/>
    <n v="1"/>
    <s v="Veneto"/>
    <s v="VR"/>
    <x v="0"/>
    <n v="84"/>
  </r>
  <r>
    <n v="237"/>
    <x v="117"/>
    <x v="3"/>
    <s v="Taranto"/>
    <s v="Informatica"/>
    <n v="891"/>
    <n v="3"/>
    <s v="Puglia"/>
    <s v="TA"/>
    <x v="3"/>
    <n v="96"/>
  </r>
  <r>
    <n v="238"/>
    <x v="8"/>
    <x v="0"/>
    <s v="Piacenza"/>
    <s v="Libri"/>
    <n v="1130"/>
    <n v="2"/>
    <s v="Emilia-Romagna"/>
    <s v="PC"/>
    <x v="0"/>
    <n v="70"/>
  </r>
  <r>
    <n v="239"/>
    <x v="92"/>
    <x v="2"/>
    <s v="Trento"/>
    <s v="Informatica"/>
    <n v="317"/>
    <n v="4"/>
    <s v="Trentino-Alto Adige"/>
    <s v="TN"/>
    <x v="0"/>
    <n v="83"/>
  </r>
  <r>
    <n v="240"/>
    <x v="91"/>
    <x v="2"/>
    <s v="Piacenza"/>
    <s v="Art. Regalo"/>
    <n v="1663"/>
    <n v="5"/>
    <s v="Emilia-Romagna"/>
    <s v="PC"/>
    <x v="0"/>
    <n v="83"/>
  </r>
  <r>
    <n v="241"/>
    <x v="23"/>
    <x v="5"/>
    <s v="Vercelli"/>
    <s v="Giocattoli"/>
    <n v="107"/>
    <n v="1"/>
    <s v="Piemonte"/>
    <s v="VC"/>
    <x v="0"/>
    <n v="80"/>
  </r>
  <r>
    <n v="242"/>
    <x v="90"/>
    <x v="5"/>
    <s v="Udine"/>
    <s v="Giocattoli"/>
    <n v="1430"/>
    <n v="2"/>
    <s v="Friuli-Venezia Giulia"/>
    <s v="UD"/>
    <x v="0"/>
    <n v="80"/>
  </r>
  <r>
    <n v="243"/>
    <x v="127"/>
    <x v="3"/>
    <s v="Pordenone"/>
    <s v="Libri"/>
    <n v="298"/>
    <n v="1"/>
    <s v="Friuli-Venezia Giulia"/>
    <s v="PN"/>
    <x v="0"/>
    <n v="96"/>
  </r>
  <r>
    <n v="244"/>
    <x v="113"/>
    <x v="2"/>
    <s v="Reggio di Calabria"/>
    <s v="Giocattoli"/>
    <n v="1557"/>
    <n v="3"/>
    <s v="Calabria"/>
    <s v="RC"/>
    <x v="3"/>
    <n v="83"/>
  </r>
  <r>
    <n v="245"/>
    <x v="126"/>
    <x v="0"/>
    <s v="Pavia"/>
    <s v="Giocattoli"/>
    <n v="477"/>
    <n v="3"/>
    <s v="Lombardia"/>
    <s v="PV"/>
    <x v="0"/>
    <n v="70"/>
  </r>
  <r>
    <n v="246"/>
    <x v="76"/>
    <x v="3"/>
    <s v="Piacenza"/>
    <s v="Cancelleria"/>
    <n v="1593"/>
    <n v="3"/>
    <s v="Emilia-Romagna"/>
    <s v="PC"/>
    <x v="0"/>
    <n v="96"/>
  </r>
  <r>
    <n v="247"/>
    <x v="125"/>
    <x v="4"/>
    <s v="Verbano-Cusio-Ossola"/>
    <s v="Art. Regalo"/>
    <n v="534"/>
    <n v="5"/>
    <s v="Piemonte"/>
    <s v="VB"/>
    <x v="0"/>
    <n v="84"/>
  </r>
  <r>
    <n v="248"/>
    <x v="21"/>
    <x v="0"/>
    <s v="Rovigo"/>
    <s v="Art. Regalo"/>
    <n v="1615"/>
    <n v="5"/>
    <s v="Veneto"/>
    <s v="RO"/>
    <x v="0"/>
    <n v="70"/>
  </r>
  <r>
    <n v="249"/>
    <x v="115"/>
    <x v="4"/>
    <s v="Pisa"/>
    <s v="Art. Regalo"/>
    <n v="416"/>
    <n v="3"/>
    <s v="Toscana"/>
    <s v="PI"/>
    <x v="1"/>
    <n v="84"/>
  </r>
  <r>
    <n v="250"/>
    <x v="115"/>
    <x v="3"/>
    <s v="Venezia"/>
    <s v="Giocattoli"/>
    <n v="201"/>
    <n v="4"/>
    <s v="Veneto"/>
    <s v="VE"/>
    <x v="0"/>
    <n v="96"/>
  </r>
  <r>
    <n v="251"/>
    <x v="103"/>
    <x v="5"/>
    <s v="Pordenone"/>
    <s v="Giocattoli"/>
    <n v="95"/>
    <n v="3"/>
    <s v="Friuli-Venezia Giulia"/>
    <s v="PN"/>
    <x v="0"/>
    <n v="80"/>
  </r>
  <r>
    <n v="252"/>
    <x v="128"/>
    <x v="4"/>
    <s v="Vicenza"/>
    <s v="Informatica"/>
    <n v="1762"/>
    <n v="3"/>
    <s v="Veneto"/>
    <s v="VI"/>
    <x v="0"/>
    <n v="84"/>
  </r>
  <r>
    <n v="253"/>
    <x v="129"/>
    <x v="5"/>
    <s v="Siracusa"/>
    <s v="Informatica"/>
    <n v="222"/>
    <n v="4"/>
    <s v="Sicilia"/>
    <s v="SR"/>
    <x v="2"/>
    <n v="80"/>
  </r>
  <r>
    <n v="254"/>
    <x v="130"/>
    <x v="3"/>
    <s v="Siracusa"/>
    <s v="Art. Regalo"/>
    <n v="1701"/>
    <n v="3"/>
    <s v="Sicilia"/>
    <s v="SR"/>
    <x v="2"/>
    <n v="96"/>
  </r>
  <r>
    <n v="255"/>
    <x v="120"/>
    <x v="3"/>
    <s v="Reggio nell'Emilia"/>
    <s v="Cancelleria"/>
    <n v="1517"/>
    <n v="1"/>
    <s v="Emilia-Romagna"/>
    <s v="RE"/>
    <x v="0"/>
    <n v="96"/>
  </r>
  <r>
    <n v="256"/>
    <x v="131"/>
    <x v="4"/>
    <s v="Pesaro e Urbino"/>
    <s v="Libri"/>
    <n v="1596"/>
    <n v="1"/>
    <s v="Marche"/>
    <s v="PS"/>
    <x v="1"/>
    <n v="84"/>
  </r>
  <r>
    <n v="257"/>
    <x v="132"/>
    <x v="5"/>
    <s v="Rieti"/>
    <s v="Giocattoli"/>
    <n v="1048"/>
    <n v="5"/>
    <s v="Lazio"/>
    <s v="RI"/>
    <x v="1"/>
    <n v="80"/>
  </r>
  <r>
    <n v="258"/>
    <x v="1"/>
    <x v="2"/>
    <s v="Vibo Valentia"/>
    <s v="Informatica"/>
    <n v="173"/>
    <n v="5"/>
    <s v="Calabria"/>
    <s v="VV"/>
    <x v="3"/>
    <n v="83"/>
  </r>
  <r>
    <n v="259"/>
    <x v="80"/>
    <x v="1"/>
    <s v="Perugia"/>
    <s v="Informatica"/>
    <n v="1960"/>
    <n v="4"/>
    <s v="Umbria"/>
    <s v="PG"/>
    <x v="1"/>
    <n v="87"/>
  </r>
  <r>
    <n v="260"/>
    <x v="133"/>
    <x v="5"/>
    <s v="Vercelli"/>
    <s v="Libri"/>
    <n v="910"/>
    <n v="2"/>
    <s v="Piemonte"/>
    <s v="VC"/>
    <x v="0"/>
    <n v="80"/>
  </r>
  <r>
    <n v="261"/>
    <x v="29"/>
    <x v="4"/>
    <s v="Pavia"/>
    <s v="Giocattoli"/>
    <n v="830"/>
    <n v="5"/>
    <s v="Lombardia"/>
    <s v="PV"/>
    <x v="0"/>
    <n v="84"/>
  </r>
  <r>
    <n v="262"/>
    <x v="16"/>
    <x v="5"/>
    <s v="Salerno"/>
    <s v="Art. Regalo"/>
    <n v="1006"/>
    <n v="2"/>
    <s v="Campania"/>
    <s v="SA"/>
    <x v="3"/>
    <n v="80"/>
  </r>
  <r>
    <n v="263"/>
    <x v="112"/>
    <x v="5"/>
    <s v="Pordenone"/>
    <s v="Cancelleria"/>
    <n v="268"/>
    <n v="4"/>
    <s v="Friuli-Venezia Giulia"/>
    <s v="PN"/>
    <x v="0"/>
    <n v="80"/>
  </r>
  <r>
    <n v="264"/>
    <x v="66"/>
    <x v="4"/>
    <s v="Perugia"/>
    <s v="Cancelleria"/>
    <n v="1160"/>
    <n v="5"/>
    <s v="Umbria"/>
    <s v="PG"/>
    <x v="1"/>
    <n v="84"/>
  </r>
  <r>
    <n v="265"/>
    <x v="17"/>
    <x v="3"/>
    <s v="Pavia"/>
    <s v="Cancelleria"/>
    <n v="1000"/>
    <n v="1"/>
    <s v="Lombardia"/>
    <s v="PV"/>
    <x v="0"/>
    <n v="96"/>
  </r>
  <r>
    <n v="266"/>
    <x v="61"/>
    <x v="1"/>
    <s v="Pescara"/>
    <s v="Libri"/>
    <n v="1733"/>
    <n v="5"/>
    <s v="Abruzzo"/>
    <s v="PE"/>
    <x v="1"/>
    <n v="87"/>
  </r>
  <r>
    <n v="267"/>
    <x v="104"/>
    <x v="5"/>
    <s v="Savona"/>
    <s v="Libri"/>
    <n v="892"/>
    <n v="4"/>
    <s v="Liguria"/>
    <s v="SV"/>
    <x v="0"/>
    <n v="80"/>
  </r>
  <r>
    <n v="268"/>
    <x v="75"/>
    <x v="3"/>
    <s v="Ragusa"/>
    <s v="Giocattoli"/>
    <n v="425"/>
    <n v="2"/>
    <s v="Sicilia"/>
    <s v="RG"/>
    <x v="2"/>
    <n v="96"/>
  </r>
  <r>
    <n v="269"/>
    <x v="114"/>
    <x v="3"/>
    <s v="Reggio nell'Emilia"/>
    <s v="Giocattoli"/>
    <n v="262"/>
    <n v="3"/>
    <s v="Emilia-Romagna"/>
    <s v="RE"/>
    <x v="0"/>
    <n v="96"/>
  </r>
  <r>
    <n v="270"/>
    <x v="11"/>
    <x v="4"/>
    <s v="Ravenna"/>
    <s v="Giocattoli"/>
    <n v="1475"/>
    <n v="3"/>
    <s v="Emilia-Romagna"/>
    <s v="RA"/>
    <x v="0"/>
    <n v="84"/>
  </r>
  <r>
    <n v="271"/>
    <x v="94"/>
    <x v="2"/>
    <s v="Vibo Valentia"/>
    <s v="Giocattoli"/>
    <n v="1483"/>
    <n v="2"/>
    <s v="Calabria"/>
    <s v="VV"/>
    <x v="3"/>
    <n v="83"/>
  </r>
  <r>
    <n v="272"/>
    <x v="134"/>
    <x v="1"/>
    <s v="Rimini"/>
    <s v="Libri"/>
    <n v="1255"/>
    <n v="5"/>
    <s v="Emilia-Romagna"/>
    <s v="RN"/>
    <x v="0"/>
    <n v="87"/>
  </r>
  <r>
    <n v="273"/>
    <x v="67"/>
    <x v="1"/>
    <s v="Savona"/>
    <s v="Giocattoli"/>
    <n v="1687"/>
    <n v="2"/>
    <s v="Liguria"/>
    <s v="SV"/>
    <x v="0"/>
    <n v="87"/>
  </r>
  <r>
    <n v="274"/>
    <x v="67"/>
    <x v="5"/>
    <s v="Vicenza"/>
    <s v="Art. Regalo"/>
    <n v="792"/>
    <n v="5"/>
    <s v="Veneto"/>
    <s v="VI"/>
    <x v="0"/>
    <n v="80"/>
  </r>
  <r>
    <n v="275"/>
    <x v="104"/>
    <x v="5"/>
    <s v="Rieti"/>
    <s v="Cancelleria"/>
    <n v="1284"/>
    <n v="2"/>
    <s v="Lazio"/>
    <s v="RI"/>
    <x v="1"/>
    <n v="80"/>
  </r>
  <r>
    <n v="276"/>
    <x v="135"/>
    <x v="5"/>
    <s v="Prato"/>
    <s v="Informatica"/>
    <n v="1007"/>
    <n v="3"/>
    <s v="Toscana"/>
    <s v="PO"/>
    <x v="1"/>
    <n v="80"/>
  </r>
  <r>
    <n v="277"/>
    <x v="75"/>
    <x v="4"/>
    <s v="Pescara"/>
    <s v="Giocattoli"/>
    <n v="1313"/>
    <n v="3"/>
    <s v="Abruzzo"/>
    <s v="PE"/>
    <x v="1"/>
    <n v="84"/>
  </r>
  <r>
    <n v="278"/>
    <x v="113"/>
    <x v="4"/>
    <s v="Reggio di Calabria"/>
    <s v="Art. Regalo"/>
    <n v="535"/>
    <n v="4"/>
    <s v="Calabria"/>
    <s v="RC"/>
    <x v="3"/>
    <n v="84"/>
  </r>
  <r>
    <n v="279"/>
    <x v="66"/>
    <x v="4"/>
    <s v="Prato"/>
    <s v="Giocattoli"/>
    <n v="930"/>
    <n v="5"/>
    <s v="Toscana"/>
    <s v="PO"/>
    <x v="1"/>
    <n v="84"/>
  </r>
  <r>
    <n v="280"/>
    <x v="87"/>
    <x v="0"/>
    <s v="Varese"/>
    <s v="Informatica"/>
    <n v="1008"/>
    <n v="3"/>
    <s v="Lombardia"/>
    <s v="VA"/>
    <x v="0"/>
    <n v="70"/>
  </r>
  <r>
    <n v="281"/>
    <x v="99"/>
    <x v="2"/>
    <s v="Taranto"/>
    <s v="Giocattoli"/>
    <n v="840"/>
    <n v="1"/>
    <s v="Puglia"/>
    <s v="TA"/>
    <x v="3"/>
    <n v="83"/>
  </r>
  <r>
    <n v="282"/>
    <x v="24"/>
    <x v="3"/>
    <s v="Siena"/>
    <s v="Giocattoli"/>
    <n v="58"/>
    <n v="5"/>
    <s v="Toscana"/>
    <s v="SI"/>
    <x v="1"/>
    <n v="96"/>
  </r>
  <r>
    <n v="283"/>
    <x v="66"/>
    <x v="0"/>
    <s v="Trapani"/>
    <s v="Libri"/>
    <n v="652"/>
    <n v="5"/>
    <s v="Sicilia"/>
    <s v="TP"/>
    <x v="2"/>
    <n v="70"/>
  </r>
  <r>
    <n v="284"/>
    <x v="131"/>
    <x v="1"/>
    <s v="Torino"/>
    <s v="Giocattoli"/>
    <n v="834"/>
    <n v="2"/>
    <s v="Piemonte"/>
    <s v="TO"/>
    <x v="0"/>
    <n v="87"/>
  </r>
  <r>
    <n v="285"/>
    <x v="136"/>
    <x v="3"/>
    <s v="Teramo"/>
    <s v="Libri"/>
    <n v="1394"/>
    <n v="5"/>
    <s v="Abruzzo"/>
    <s v="TE"/>
    <x v="1"/>
    <n v="96"/>
  </r>
  <r>
    <n v="286"/>
    <x v="19"/>
    <x v="3"/>
    <s v="Perugia"/>
    <s v="Informatica"/>
    <n v="1809"/>
    <n v="2"/>
    <s v="Umbria"/>
    <s v="PG"/>
    <x v="1"/>
    <n v="96"/>
  </r>
  <r>
    <n v="287"/>
    <x v="132"/>
    <x v="2"/>
    <s v="Rieti"/>
    <s v="Informatica"/>
    <n v="1381"/>
    <n v="3"/>
    <s v="Lazio"/>
    <s v="RI"/>
    <x v="1"/>
    <n v="83"/>
  </r>
  <r>
    <n v="288"/>
    <x v="107"/>
    <x v="5"/>
    <s v="Pisa"/>
    <s v="Giocattoli"/>
    <n v="742"/>
    <n v="1"/>
    <s v="Toscana"/>
    <s v="PI"/>
    <x v="1"/>
    <n v="80"/>
  </r>
  <r>
    <n v="289"/>
    <x v="137"/>
    <x v="4"/>
    <s v="Pordenone"/>
    <s v="Art. Regalo"/>
    <n v="12"/>
    <n v="4"/>
    <s v="Friuli-Venezia Giulia"/>
    <s v="PN"/>
    <x v="0"/>
    <n v="84"/>
  </r>
  <r>
    <n v="290"/>
    <x v="113"/>
    <x v="0"/>
    <s v="Verbano-Cusio-Ossola"/>
    <s v="Libri"/>
    <n v="118"/>
    <n v="5"/>
    <s v="Piemonte"/>
    <s v="VB"/>
    <x v="0"/>
    <n v="70"/>
  </r>
  <r>
    <n v="291"/>
    <x v="5"/>
    <x v="3"/>
    <s v="Pesaro e Urbino"/>
    <s v="Informatica"/>
    <n v="2000"/>
    <n v="4"/>
    <s v="Marche"/>
    <s v="PS"/>
    <x v="1"/>
    <n v="96"/>
  </r>
  <r>
    <n v="292"/>
    <x v="54"/>
    <x v="2"/>
    <s v="Teramo"/>
    <s v="Giocattoli"/>
    <n v="1963"/>
    <n v="4"/>
    <s v="Abruzzo"/>
    <s v="TE"/>
    <x v="1"/>
    <n v="83"/>
  </r>
  <r>
    <n v="293"/>
    <x v="2"/>
    <x v="1"/>
    <s v="Savona"/>
    <s v="Informatica"/>
    <n v="1583"/>
    <n v="4"/>
    <s v="Liguria"/>
    <s v="SV"/>
    <x v="0"/>
    <n v="87"/>
  </r>
  <r>
    <n v="294"/>
    <x v="123"/>
    <x v="0"/>
    <s v="Verbano-Cusio-Ossola"/>
    <s v="Art. Regalo"/>
    <n v="1103"/>
    <n v="1"/>
    <s v="Piemonte"/>
    <s v="VB"/>
    <x v="0"/>
    <n v="70"/>
  </r>
  <r>
    <n v="295"/>
    <x v="138"/>
    <x v="2"/>
    <s v="Sondrio"/>
    <s v="Libri"/>
    <n v="837"/>
    <n v="3"/>
    <s v="Lombardia"/>
    <s v="SO"/>
    <x v="0"/>
    <n v="83"/>
  </r>
  <r>
    <n v="296"/>
    <x v="100"/>
    <x v="0"/>
    <s v="Reggio di Calabria"/>
    <s v="Libri"/>
    <n v="6"/>
    <n v="2"/>
    <s v="Calabria"/>
    <s v="RC"/>
    <x v="3"/>
    <n v="70"/>
  </r>
  <r>
    <n v="297"/>
    <x v="139"/>
    <x v="5"/>
    <s v="Potenza"/>
    <s v="Giocattoli"/>
    <n v="94"/>
    <n v="5"/>
    <s v="Basilicata"/>
    <s v="PZ"/>
    <x v="3"/>
    <n v="80"/>
  </r>
  <r>
    <n v="298"/>
    <x v="140"/>
    <x v="4"/>
    <s v="Siracusa"/>
    <s v="Cancelleria"/>
    <n v="1206"/>
    <n v="1"/>
    <s v="Sicilia"/>
    <s v="SR"/>
    <x v="2"/>
    <n v="84"/>
  </r>
  <r>
    <n v="299"/>
    <x v="62"/>
    <x v="5"/>
    <s v="Reggio di Calabria"/>
    <s v="Giocattoli"/>
    <n v="1266"/>
    <n v="4"/>
    <s v="Calabria"/>
    <s v="RC"/>
    <x v="3"/>
    <n v="80"/>
  </r>
  <r>
    <n v="300"/>
    <x v="108"/>
    <x v="1"/>
    <s v="Treviso"/>
    <s v="Art. Regalo"/>
    <n v="707"/>
    <n v="5"/>
    <s v="Veneto"/>
    <s v="TV"/>
    <x v="0"/>
    <n v="87"/>
  </r>
  <r>
    <n v="301"/>
    <x v="116"/>
    <x v="0"/>
    <s v="Sondrio"/>
    <s v="Libri"/>
    <n v="42"/>
    <n v="2"/>
    <s v="Lombardia"/>
    <s v="SO"/>
    <x v="0"/>
    <n v="70"/>
  </r>
  <r>
    <n v="302"/>
    <x v="15"/>
    <x v="1"/>
    <s v="Verbano-Cusio-Ossola"/>
    <s v="Libri"/>
    <n v="1560"/>
    <n v="5"/>
    <s v="Piemonte"/>
    <s v="VB"/>
    <x v="0"/>
    <n v="87"/>
  </r>
  <r>
    <n v="303"/>
    <x v="141"/>
    <x v="4"/>
    <s v="Roma"/>
    <s v="Art. Regalo"/>
    <n v="1996"/>
    <n v="2"/>
    <s v="Lazio"/>
    <s v="RM"/>
    <x v="1"/>
    <n v="84"/>
  </r>
  <r>
    <n v="304"/>
    <x v="142"/>
    <x v="3"/>
    <s v="Pisa"/>
    <s v="Informatica"/>
    <n v="884"/>
    <n v="4"/>
    <s v="Toscana"/>
    <s v="PI"/>
    <x v="1"/>
    <n v="96"/>
  </r>
  <r>
    <n v="305"/>
    <x v="10"/>
    <x v="3"/>
    <s v="Sassari"/>
    <s v="Libri"/>
    <n v="534"/>
    <n v="4"/>
    <s v="Sardegna"/>
    <s v="SS"/>
    <x v="2"/>
    <n v="96"/>
  </r>
  <r>
    <n v="306"/>
    <x v="19"/>
    <x v="1"/>
    <s v="Ragusa"/>
    <s v="Giocattoli"/>
    <n v="1370"/>
    <n v="2"/>
    <s v="Sicilia"/>
    <s v="RG"/>
    <x v="2"/>
    <n v="87"/>
  </r>
  <r>
    <n v="307"/>
    <x v="51"/>
    <x v="1"/>
    <s v="Rimini"/>
    <s v="Libri"/>
    <n v="331"/>
    <n v="4"/>
    <s v="Emilia-Romagna"/>
    <s v="RN"/>
    <x v="0"/>
    <n v="87"/>
  </r>
  <r>
    <n v="308"/>
    <x v="9"/>
    <x v="1"/>
    <s v="Verbano-Cusio-Ossola"/>
    <s v="Art. Regalo"/>
    <n v="878"/>
    <n v="1"/>
    <s v="Piemonte"/>
    <s v="VB"/>
    <x v="0"/>
    <n v="87"/>
  </r>
  <r>
    <n v="309"/>
    <x v="143"/>
    <x v="3"/>
    <s v="Verbano-Cusio-Ossola"/>
    <s v="Libri"/>
    <n v="1320"/>
    <n v="2"/>
    <s v="Piemonte"/>
    <s v="VB"/>
    <x v="0"/>
    <n v="96"/>
  </r>
  <r>
    <n v="310"/>
    <x v="40"/>
    <x v="2"/>
    <s v="Reggio di Calabria"/>
    <s v="Cancelleria"/>
    <n v="1889"/>
    <n v="5"/>
    <s v="Calabria"/>
    <s v="RC"/>
    <x v="3"/>
    <n v="83"/>
  </r>
  <r>
    <n v="311"/>
    <x v="107"/>
    <x v="4"/>
    <s v="Rovigo"/>
    <s v="Giocattoli"/>
    <n v="1330"/>
    <n v="5"/>
    <s v="Veneto"/>
    <s v="RO"/>
    <x v="0"/>
    <n v="84"/>
  </r>
  <r>
    <n v="312"/>
    <x v="87"/>
    <x v="4"/>
    <s v="Reggio di Calabria"/>
    <s v="Informatica"/>
    <n v="1515"/>
    <n v="3"/>
    <s v="Calabria"/>
    <s v="RC"/>
    <x v="3"/>
    <n v="84"/>
  </r>
  <r>
    <n v="313"/>
    <x v="33"/>
    <x v="3"/>
    <s v="Terni"/>
    <s v="Art. Regalo"/>
    <n v="363"/>
    <n v="4"/>
    <s v="Umbria"/>
    <s v="TR"/>
    <x v="1"/>
    <n v="96"/>
  </r>
  <r>
    <n v="314"/>
    <x v="144"/>
    <x v="2"/>
    <s v="Trieste"/>
    <s v="Art. Regalo"/>
    <n v="1616"/>
    <n v="2"/>
    <s v="Friuli-Venezia Giulia"/>
    <s v="TS"/>
    <x v="0"/>
    <n v="83"/>
  </r>
  <r>
    <n v="315"/>
    <x v="123"/>
    <x v="5"/>
    <s v="Pisa"/>
    <s v="Art. Regalo"/>
    <n v="66"/>
    <n v="3"/>
    <s v="Toscana"/>
    <s v="PI"/>
    <x v="1"/>
    <n v="80"/>
  </r>
  <r>
    <n v="316"/>
    <x v="57"/>
    <x v="3"/>
    <s v="Potenza"/>
    <s v="Libri"/>
    <n v="1451"/>
    <n v="2"/>
    <s v="Basilicata"/>
    <s v="PZ"/>
    <x v="3"/>
    <n v="96"/>
  </r>
  <r>
    <n v="317"/>
    <x v="103"/>
    <x v="1"/>
    <s v="Siracusa"/>
    <s v="Informatica"/>
    <n v="922"/>
    <n v="1"/>
    <s v="Sicilia"/>
    <s v="SR"/>
    <x v="2"/>
    <n v="87"/>
  </r>
  <r>
    <n v="318"/>
    <x v="127"/>
    <x v="2"/>
    <s v="Perugia"/>
    <s v="Art. Regalo"/>
    <n v="777"/>
    <n v="4"/>
    <s v="Umbria"/>
    <s v="PG"/>
    <x v="1"/>
    <n v="83"/>
  </r>
  <r>
    <n v="319"/>
    <x v="145"/>
    <x v="2"/>
    <s v="Vercelli"/>
    <s v="Libri"/>
    <n v="1553"/>
    <n v="3"/>
    <s v="Piemonte"/>
    <s v="VC"/>
    <x v="0"/>
    <n v="83"/>
  </r>
  <r>
    <n v="320"/>
    <x v="39"/>
    <x v="2"/>
    <s v="Roma"/>
    <s v="Cancelleria"/>
    <n v="1602"/>
    <n v="4"/>
    <s v="Lazio"/>
    <s v="RM"/>
    <x v="1"/>
    <n v="83"/>
  </r>
  <r>
    <n v="321"/>
    <x v="53"/>
    <x v="0"/>
    <s v="Trieste"/>
    <s v="Art. Regalo"/>
    <n v="1223"/>
    <n v="4"/>
    <s v="Friuli-Venezia Giulia"/>
    <s v="TS"/>
    <x v="0"/>
    <n v="70"/>
  </r>
  <r>
    <n v="322"/>
    <x v="104"/>
    <x v="3"/>
    <s v="Savona"/>
    <s v="Art. Regalo"/>
    <n v="1410"/>
    <n v="1"/>
    <s v="Liguria"/>
    <s v="SV"/>
    <x v="0"/>
    <n v="96"/>
  </r>
  <r>
    <n v="323"/>
    <x v="146"/>
    <x v="3"/>
    <s v="Rovigo"/>
    <s v="Informatica"/>
    <n v="452"/>
    <n v="4"/>
    <s v="Veneto"/>
    <s v="RO"/>
    <x v="0"/>
    <n v="96"/>
  </r>
  <r>
    <n v="324"/>
    <x v="147"/>
    <x v="4"/>
    <s v="Pescara"/>
    <s v="Informatica"/>
    <n v="242"/>
    <n v="1"/>
    <s v="Abruzzo"/>
    <s v="PE"/>
    <x v="1"/>
    <n v="84"/>
  </r>
  <r>
    <n v="325"/>
    <x v="52"/>
    <x v="0"/>
    <s v="Piacenza"/>
    <s v="Cancelleria"/>
    <n v="1568"/>
    <n v="4"/>
    <s v="Emilia-Romagna"/>
    <s v="PC"/>
    <x v="0"/>
    <n v="70"/>
  </r>
  <r>
    <n v="326"/>
    <x v="106"/>
    <x v="4"/>
    <s v="Viterbo"/>
    <s v="Art. Regalo"/>
    <n v="207"/>
    <n v="4"/>
    <s v="Lazio"/>
    <s v="VT"/>
    <x v="1"/>
    <n v="84"/>
  </r>
  <r>
    <n v="327"/>
    <x v="68"/>
    <x v="0"/>
    <s v="Rieti"/>
    <s v="Giocattoli"/>
    <n v="1912"/>
    <n v="2"/>
    <s v="Lazio"/>
    <s v="RI"/>
    <x v="1"/>
    <n v="70"/>
  </r>
  <r>
    <n v="328"/>
    <x v="148"/>
    <x v="0"/>
    <s v="Reggio nell'Emilia"/>
    <s v="Libri"/>
    <n v="771"/>
    <n v="5"/>
    <s v="Emilia-Romagna"/>
    <s v="RE"/>
    <x v="0"/>
    <n v="70"/>
  </r>
  <r>
    <n v="329"/>
    <x v="118"/>
    <x v="5"/>
    <s v="Savona"/>
    <s v="Art. Regalo"/>
    <n v="97"/>
    <n v="2"/>
    <s v="Liguria"/>
    <s v="SV"/>
    <x v="0"/>
    <n v="80"/>
  </r>
  <r>
    <n v="330"/>
    <x v="38"/>
    <x v="3"/>
    <s v="Pescara"/>
    <s v="Libri"/>
    <n v="1361"/>
    <n v="5"/>
    <s v="Abruzzo"/>
    <s v="PE"/>
    <x v="1"/>
    <n v="96"/>
  </r>
  <r>
    <n v="331"/>
    <x v="139"/>
    <x v="2"/>
    <s v="Vicenza"/>
    <s v="Giocattoli"/>
    <n v="1986"/>
    <n v="4"/>
    <s v="Veneto"/>
    <s v="VI"/>
    <x v="0"/>
    <n v="83"/>
  </r>
  <r>
    <n v="332"/>
    <x v="108"/>
    <x v="1"/>
    <s v="Venezia"/>
    <s v="Libri"/>
    <n v="1244"/>
    <n v="3"/>
    <s v="Veneto"/>
    <s v="VE"/>
    <x v="0"/>
    <n v="87"/>
  </r>
  <r>
    <n v="333"/>
    <x v="149"/>
    <x v="4"/>
    <s v="Roma"/>
    <s v="Cancelleria"/>
    <n v="1319"/>
    <n v="1"/>
    <s v="Lazio"/>
    <s v="RM"/>
    <x v="1"/>
    <n v="84"/>
  </r>
  <r>
    <n v="334"/>
    <x v="150"/>
    <x v="5"/>
    <s v="Siena"/>
    <s v="Art. Regalo"/>
    <n v="1554"/>
    <n v="4"/>
    <s v="Toscana"/>
    <s v="SI"/>
    <x v="1"/>
    <n v="80"/>
  </r>
  <r>
    <n v="335"/>
    <x v="151"/>
    <x v="1"/>
    <s v="Pordenone"/>
    <s v="Giocattoli"/>
    <n v="1472"/>
    <n v="4"/>
    <s v="Friuli-Venezia Giulia"/>
    <s v="PN"/>
    <x v="0"/>
    <n v="87"/>
  </r>
  <r>
    <n v="336"/>
    <x v="10"/>
    <x v="1"/>
    <s v="Vercelli"/>
    <s v="Cancelleria"/>
    <n v="220"/>
    <n v="5"/>
    <s v="Piemonte"/>
    <s v="VC"/>
    <x v="0"/>
    <n v="87"/>
  </r>
  <r>
    <n v="337"/>
    <x v="152"/>
    <x v="4"/>
    <s v="Perugia"/>
    <s v="Giocattoli"/>
    <n v="397"/>
    <n v="2"/>
    <s v="Umbria"/>
    <s v="PG"/>
    <x v="1"/>
    <n v="84"/>
  </r>
  <r>
    <n v="338"/>
    <x v="79"/>
    <x v="5"/>
    <s v="Viterbo"/>
    <s v="Giocattoli"/>
    <n v="844"/>
    <n v="5"/>
    <s v="Lazio"/>
    <s v="VT"/>
    <x v="1"/>
    <n v="80"/>
  </r>
  <r>
    <n v="339"/>
    <x v="148"/>
    <x v="4"/>
    <s v="Salerno"/>
    <s v="Giocattoli"/>
    <n v="1733"/>
    <n v="3"/>
    <s v="Campania"/>
    <s v="SA"/>
    <x v="3"/>
    <n v="84"/>
  </r>
  <r>
    <n v="340"/>
    <x v="28"/>
    <x v="5"/>
    <s v="Teramo"/>
    <s v="Informatica"/>
    <n v="1937"/>
    <n v="1"/>
    <s v="Abruzzo"/>
    <s v="TE"/>
    <x v="1"/>
    <n v="80"/>
  </r>
  <r>
    <n v="341"/>
    <x v="41"/>
    <x v="3"/>
    <s v="Potenza"/>
    <s v="Giocattoli"/>
    <n v="591"/>
    <n v="3"/>
    <s v="Basilicata"/>
    <s v="PZ"/>
    <x v="3"/>
    <n v="96"/>
  </r>
  <r>
    <n v="342"/>
    <x v="85"/>
    <x v="2"/>
    <s v="Pistoia"/>
    <s v="Libri"/>
    <n v="1022"/>
    <n v="3"/>
    <s v="Toscana"/>
    <s v="PT"/>
    <x v="1"/>
    <n v="83"/>
  </r>
  <r>
    <n v="343"/>
    <x v="153"/>
    <x v="5"/>
    <s v="Varese"/>
    <s v="Cancelleria"/>
    <n v="990"/>
    <n v="5"/>
    <s v="Lombardia"/>
    <s v="VA"/>
    <x v="0"/>
    <n v="80"/>
  </r>
  <r>
    <n v="344"/>
    <x v="149"/>
    <x v="1"/>
    <s v="Perugia"/>
    <s v="Art. Regalo"/>
    <n v="842"/>
    <n v="2"/>
    <s v="Umbria"/>
    <s v="PG"/>
    <x v="1"/>
    <n v="87"/>
  </r>
  <r>
    <n v="345"/>
    <x v="151"/>
    <x v="4"/>
    <s v="Verbano-Cusio-Ossola"/>
    <s v="Giocattoli"/>
    <n v="506"/>
    <n v="5"/>
    <s v="Piemonte"/>
    <s v="VB"/>
    <x v="0"/>
    <n v="84"/>
  </r>
  <r>
    <n v="346"/>
    <x v="127"/>
    <x v="4"/>
    <s v="Perugia"/>
    <s v="Libri"/>
    <n v="1170"/>
    <n v="3"/>
    <s v="Umbria"/>
    <s v="PG"/>
    <x v="1"/>
    <n v="84"/>
  </r>
  <r>
    <n v="347"/>
    <x v="12"/>
    <x v="3"/>
    <s v="Terni"/>
    <s v="Art. Regalo"/>
    <n v="460"/>
    <n v="4"/>
    <s v="Umbria"/>
    <s v="TR"/>
    <x v="1"/>
    <n v="96"/>
  </r>
  <r>
    <n v="348"/>
    <x v="154"/>
    <x v="2"/>
    <s v="Sassari"/>
    <s v="Art. Regalo"/>
    <n v="1321"/>
    <n v="1"/>
    <s v="Sardegna"/>
    <s v="SS"/>
    <x v="2"/>
    <n v="83"/>
  </r>
  <r>
    <n v="349"/>
    <x v="153"/>
    <x v="4"/>
    <s v="Ragusa"/>
    <s v="Libri"/>
    <n v="166"/>
    <n v="5"/>
    <s v="Sicilia"/>
    <s v="RG"/>
    <x v="2"/>
    <n v="84"/>
  </r>
  <r>
    <n v="350"/>
    <x v="35"/>
    <x v="0"/>
    <s v="Viterbo"/>
    <s v="Libri"/>
    <n v="1115"/>
    <n v="1"/>
    <s v="Lazio"/>
    <s v="VT"/>
    <x v="1"/>
    <n v="70"/>
  </r>
  <r>
    <n v="351"/>
    <x v="76"/>
    <x v="1"/>
    <s v="Perugia"/>
    <s v="Libri"/>
    <n v="1919"/>
    <n v="2"/>
    <s v="Umbria"/>
    <s v="PG"/>
    <x v="1"/>
    <n v="87"/>
  </r>
  <r>
    <n v="352"/>
    <x v="152"/>
    <x v="3"/>
    <s v="Rovigo"/>
    <s v="Libri"/>
    <n v="1514"/>
    <n v="3"/>
    <s v="Veneto"/>
    <s v="RO"/>
    <x v="0"/>
    <n v="96"/>
  </r>
  <r>
    <n v="353"/>
    <x v="31"/>
    <x v="4"/>
    <s v="Rovigo"/>
    <s v="Cancelleria"/>
    <n v="3"/>
    <n v="2"/>
    <s v="Veneto"/>
    <s v="RO"/>
    <x v="0"/>
    <n v="84"/>
  </r>
  <r>
    <n v="354"/>
    <x v="155"/>
    <x v="1"/>
    <s v="Sondrio"/>
    <s v="Giocattoli"/>
    <n v="445"/>
    <n v="2"/>
    <s v="Lombardia"/>
    <s v="SO"/>
    <x v="0"/>
    <n v="87"/>
  </r>
  <r>
    <n v="355"/>
    <x v="91"/>
    <x v="3"/>
    <s v="Trapani"/>
    <s v="Art. Regalo"/>
    <n v="1028"/>
    <n v="4"/>
    <s v="Sicilia"/>
    <s v="TP"/>
    <x v="2"/>
    <n v="96"/>
  </r>
  <r>
    <n v="356"/>
    <x v="86"/>
    <x v="2"/>
    <s v="Pesaro e Urbino"/>
    <s v="Cancelleria"/>
    <n v="893"/>
    <n v="4"/>
    <s v="Marche"/>
    <s v="PS"/>
    <x v="1"/>
    <n v="83"/>
  </r>
  <r>
    <n v="357"/>
    <x v="60"/>
    <x v="0"/>
    <s v="Rovigo"/>
    <s v="Cancelleria"/>
    <n v="1421"/>
    <n v="1"/>
    <s v="Veneto"/>
    <s v="RO"/>
    <x v="0"/>
    <n v="70"/>
  </r>
  <r>
    <n v="358"/>
    <x v="90"/>
    <x v="3"/>
    <s v="Sondrio"/>
    <s v="Giocattoli"/>
    <n v="1941"/>
    <n v="2"/>
    <s v="Lombardia"/>
    <s v="SO"/>
    <x v="0"/>
    <n v="96"/>
  </r>
  <r>
    <n v="359"/>
    <x v="54"/>
    <x v="2"/>
    <s v="Savona"/>
    <s v="Cancelleria"/>
    <n v="1537"/>
    <n v="5"/>
    <s v="Liguria"/>
    <s v="SV"/>
    <x v="0"/>
    <n v="83"/>
  </r>
  <r>
    <n v="360"/>
    <x v="23"/>
    <x v="4"/>
    <s v="Pesaro e Urbino"/>
    <s v="Informatica"/>
    <n v="1957"/>
    <n v="3"/>
    <s v="Marche"/>
    <s v="PS"/>
    <x v="1"/>
    <n v="84"/>
  </r>
  <r>
    <n v="361"/>
    <x v="131"/>
    <x v="0"/>
    <s v="Pesaro e Urbino"/>
    <s v="Informatica"/>
    <n v="307"/>
    <n v="3"/>
    <s v="Marche"/>
    <s v="PS"/>
    <x v="1"/>
    <n v="70"/>
  </r>
  <r>
    <n v="362"/>
    <x v="136"/>
    <x v="5"/>
    <s v="Siracusa"/>
    <s v="Cancelleria"/>
    <n v="1128"/>
    <n v="3"/>
    <s v="Sicilia"/>
    <s v="SR"/>
    <x v="2"/>
    <n v="80"/>
  </r>
  <r>
    <n v="363"/>
    <x v="130"/>
    <x v="5"/>
    <s v="Sassari"/>
    <s v="Libri"/>
    <n v="849"/>
    <n v="2"/>
    <s v="Sardegna"/>
    <s v="SS"/>
    <x v="2"/>
    <n v="80"/>
  </r>
  <r>
    <n v="364"/>
    <x v="92"/>
    <x v="5"/>
    <s v="Varese"/>
    <s v="Cancelleria"/>
    <n v="1252"/>
    <n v="1"/>
    <s v="Lombardia"/>
    <s v="VA"/>
    <x v="0"/>
    <n v="80"/>
  </r>
  <r>
    <n v="365"/>
    <x v="33"/>
    <x v="0"/>
    <s v="Udine"/>
    <s v="Giocattoli"/>
    <n v="1965"/>
    <n v="4"/>
    <s v="Friuli-Venezia Giulia"/>
    <s v="UD"/>
    <x v="0"/>
    <n v="70"/>
  </r>
  <r>
    <n v="366"/>
    <x v="156"/>
    <x v="3"/>
    <s v="Siena"/>
    <s v="Cancelleria"/>
    <n v="667"/>
    <n v="5"/>
    <s v="Toscana"/>
    <s v="SI"/>
    <x v="1"/>
    <n v="96"/>
  </r>
  <r>
    <n v="367"/>
    <x v="124"/>
    <x v="5"/>
    <s v="Viterbo"/>
    <s v="Informatica"/>
    <n v="653"/>
    <n v="3"/>
    <s v="Lazio"/>
    <s v="VT"/>
    <x v="1"/>
    <n v="80"/>
  </r>
  <r>
    <n v="368"/>
    <x v="92"/>
    <x v="1"/>
    <s v="Roma"/>
    <s v="Libri"/>
    <n v="1602"/>
    <n v="4"/>
    <s v="Lazio"/>
    <s v="RM"/>
    <x v="1"/>
    <n v="87"/>
  </r>
  <r>
    <n v="369"/>
    <x v="157"/>
    <x v="2"/>
    <s v="Savona"/>
    <s v="Libri"/>
    <n v="1609"/>
    <n v="2"/>
    <s v="Liguria"/>
    <s v="SV"/>
    <x v="0"/>
    <n v="83"/>
  </r>
  <r>
    <n v="370"/>
    <x v="141"/>
    <x v="2"/>
    <s v="Pesaro e Urbino"/>
    <s v="Giocattoli"/>
    <n v="1234"/>
    <n v="4"/>
    <s v="Marche"/>
    <s v="PS"/>
    <x v="1"/>
    <n v="83"/>
  </r>
  <r>
    <n v="371"/>
    <x v="158"/>
    <x v="1"/>
    <s v="Terni"/>
    <s v="Cancelleria"/>
    <n v="186"/>
    <n v="3"/>
    <s v="Umbria"/>
    <s v="TR"/>
    <x v="1"/>
    <n v="87"/>
  </r>
  <r>
    <n v="372"/>
    <x v="60"/>
    <x v="4"/>
    <s v="Pistoia"/>
    <s v="Cancelleria"/>
    <n v="556"/>
    <n v="4"/>
    <s v="Toscana"/>
    <s v="PT"/>
    <x v="1"/>
    <n v="84"/>
  </r>
  <r>
    <n v="373"/>
    <x v="103"/>
    <x v="3"/>
    <s v="Torino"/>
    <s v="Art. Regalo"/>
    <n v="408"/>
    <n v="5"/>
    <s v="Piemonte"/>
    <s v="TO"/>
    <x v="0"/>
    <n v="96"/>
  </r>
  <r>
    <n v="374"/>
    <x v="106"/>
    <x v="3"/>
    <s v="Vibo Valentia"/>
    <s v="Libri"/>
    <n v="754"/>
    <n v="3"/>
    <s v="Calabria"/>
    <s v="VV"/>
    <x v="3"/>
    <n v="96"/>
  </r>
  <r>
    <n v="375"/>
    <x v="120"/>
    <x v="1"/>
    <s v="Verbano-Cusio-Ossola"/>
    <s v="Libri"/>
    <n v="131"/>
    <n v="1"/>
    <s v="Piemonte"/>
    <s v="VB"/>
    <x v="0"/>
    <n v="87"/>
  </r>
  <r>
    <n v="376"/>
    <x v="124"/>
    <x v="4"/>
    <s v="Sassari"/>
    <s v="Giocattoli"/>
    <n v="1494"/>
    <n v="5"/>
    <s v="Sardegna"/>
    <s v="SS"/>
    <x v="2"/>
    <n v="84"/>
  </r>
  <r>
    <n v="377"/>
    <x v="102"/>
    <x v="3"/>
    <s v="Verbano-Cusio-Ossola"/>
    <s v="Art. Regalo"/>
    <n v="1960"/>
    <n v="5"/>
    <s v="Piemonte"/>
    <s v="VB"/>
    <x v="0"/>
    <n v="96"/>
  </r>
  <r>
    <n v="378"/>
    <x v="159"/>
    <x v="1"/>
    <s v="Ragusa"/>
    <s v="Art. Regalo"/>
    <n v="1586"/>
    <n v="4"/>
    <s v="Sicilia"/>
    <s v="RG"/>
    <x v="2"/>
    <n v="87"/>
  </r>
  <r>
    <n v="379"/>
    <x v="101"/>
    <x v="2"/>
    <s v="Pisa"/>
    <s v="Cancelleria"/>
    <n v="255"/>
    <n v="1"/>
    <s v="Toscana"/>
    <s v="PI"/>
    <x v="1"/>
    <n v="83"/>
  </r>
  <r>
    <n v="380"/>
    <x v="57"/>
    <x v="5"/>
    <s v="Sondrio"/>
    <s v="Giocattoli"/>
    <n v="1469"/>
    <n v="2"/>
    <s v="Lombardia"/>
    <s v="SO"/>
    <x v="0"/>
    <n v="80"/>
  </r>
  <r>
    <n v="381"/>
    <x v="32"/>
    <x v="2"/>
    <s v="Pesaro e Urbino"/>
    <s v="Art. Regalo"/>
    <n v="1321"/>
    <n v="4"/>
    <s v="Marche"/>
    <s v="PS"/>
    <x v="1"/>
    <n v="83"/>
  </r>
  <r>
    <n v="382"/>
    <x v="160"/>
    <x v="1"/>
    <s v="Treviso"/>
    <s v="Giocattoli"/>
    <n v="735"/>
    <n v="2"/>
    <s v="Veneto"/>
    <s v="TV"/>
    <x v="0"/>
    <n v="87"/>
  </r>
  <r>
    <n v="383"/>
    <x v="156"/>
    <x v="4"/>
    <s v="Siena"/>
    <s v="Art. Regalo"/>
    <n v="153"/>
    <n v="3"/>
    <s v="Toscana"/>
    <s v="SI"/>
    <x v="1"/>
    <n v="84"/>
  </r>
  <r>
    <n v="384"/>
    <x v="158"/>
    <x v="0"/>
    <s v="Pistoia"/>
    <s v="Giocattoli"/>
    <n v="1474"/>
    <n v="1"/>
    <s v="Toscana"/>
    <s v="PT"/>
    <x v="1"/>
    <n v="70"/>
  </r>
  <r>
    <n v="385"/>
    <x v="111"/>
    <x v="1"/>
    <s v="Rovigo"/>
    <s v="Art. Regalo"/>
    <n v="1108"/>
    <n v="2"/>
    <s v="Veneto"/>
    <s v="RO"/>
    <x v="0"/>
    <n v="87"/>
  </r>
  <r>
    <n v="386"/>
    <x v="29"/>
    <x v="4"/>
    <s v="Perugia"/>
    <s v="Cancelleria"/>
    <n v="1430"/>
    <n v="4"/>
    <s v="Umbria"/>
    <s v="PG"/>
    <x v="1"/>
    <n v="84"/>
  </r>
  <r>
    <n v="387"/>
    <x v="81"/>
    <x v="4"/>
    <s v="Roma"/>
    <s v="Art. Regalo"/>
    <n v="788"/>
    <n v="5"/>
    <s v="Lazio"/>
    <s v="RM"/>
    <x v="1"/>
    <n v="84"/>
  </r>
  <r>
    <n v="388"/>
    <x v="11"/>
    <x v="4"/>
    <s v="Viterbo"/>
    <s v="Art. Regalo"/>
    <n v="1362"/>
    <n v="3"/>
    <s v="Lazio"/>
    <s v="VT"/>
    <x v="1"/>
    <n v="84"/>
  </r>
  <r>
    <n v="389"/>
    <x v="91"/>
    <x v="0"/>
    <s v="Vibo Valentia"/>
    <s v="Informatica"/>
    <n v="744"/>
    <n v="3"/>
    <s v="Calabria"/>
    <s v="VV"/>
    <x v="3"/>
    <n v="70"/>
  </r>
  <r>
    <n v="390"/>
    <x v="89"/>
    <x v="4"/>
    <s v="Venezia"/>
    <s v="Informatica"/>
    <n v="1252"/>
    <n v="2"/>
    <s v="Veneto"/>
    <s v="VE"/>
    <x v="0"/>
    <n v="84"/>
  </r>
  <r>
    <n v="391"/>
    <x v="60"/>
    <x v="4"/>
    <s v="Savona"/>
    <s v="Art. Regalo"/>
    <n v="1378"/>
    <n v="3"/>
    <s v="Liguria"/>
    <s v="SV"/>
    <x v="0"/>
    <n v="84"/>
  </r>
  <r>
    <n v="392"/>
    <x v="101"/>
    <x v="3"/>
    <s v="Perugia"/>
    <s v="Informatica"/>
    <n v="192"/>
    <n v="5"/>
    <s v="Umbria"/>
    <s v="PG"/>
    <x v="1"/>
    <n v="96"/>
  </r>
  <r>
    <n v="393"/>
    <x v="138"/>
    <x v="5"/>
    <s v="Sondrio"/>
    <s v="Art. Regalo"/>
    <n v="1876"/>
    <n v="2"/>
    <s v="Lombardia"/>
    <s v="SO"/>
    <x v="0"/>
    <n v="80"/>
  </r>
  <r>
    <n v="394"/>
    <x v="161"/>
    <x v="4"/>
    <s v="Reggio di Calabria"/>
    <s v="Informatica"/>
    <n v="1640"/>
    <n v="1"/>
    <s v="Calabria"/>
    <s v="RC"/>
    <x v="3"/>
    <n v="84"/>
  </r>
  <r>
    <n v="395"/>
    <x v="77"/>
    <x v="0"/>
    <s v="Verbano-Cusio-Ossola"/>
    <s v="Libri"/>
    <n v="848"/>
    <n v="4"/>
    <s v="Piemonte"/>
    <s v="VB"/>
    <x v="0"/>
    <n v="70"/>
  </r>
  <r>
    <n v="396"/>
    <x v="71"/>
    <x v="3"/>
    <s v="Venezia"/>
    <s v="Informatica"/>
    <n v="692"/>
    <n v="1"/>
    <s v="Veneto"/>
    <s v="VE"/>
    <x v="0"/>
    <n v="96"/>
  </r>
  <r>
    <n v="397"/>
    <x v="69"/>
    <x v="5"/>
    <s v="Prato"/>
    <s v="Informatica"/>
    <n v="549"/>
    <n v="1"/>
    <s v="Toscana"/>
    <s v="PO"/>
    <x v="1"/>
    <n v="80"/>
  </r>
  <r>
    <n v="398"/>
    <x v="2"/>
    <x v="4"/>
    <s v="Ravenna"/>
    <s v="Art. Regalo"/>
    <n v="1482"/>
    <n v="2"/>
    <s v="Emilia-Romagna"/>
    <s v="RA"/>
    <x v="0"/>
    <n v="84"/>
  </r>
  <r>
    <n v="399"/>
    <x v="56"/>
    <x v="3"/>
    <s v="Pisa"/>
    <s v="Giocattoli"/>
    <n v="3"/>
    <n v="5"/>
    <s v="Toscana"/>
    <s v="PI"/>
    <x v="1"/>
    <n v="96"/>
  </r>
  <r>
    <n v="400"/>
    <x v="145"/>
    <x v="0"/>
    <s v="Treviso"/>
    <s v="Art. Regalo"/>
    <n v="467"/>
    <n v="3"/>
    <s v="Veneto"/>
    <s v="TV"/>
    <x v="0"/>
    <n v="70"/>
  </r>
  <r>
    <n v="401"/>
    <x v="37"/>
    <x v="3"/>
    <s v="Rimini"/>
    <s v="Cancelleria"/>
    <n v="1746"/>
    <n v="3"/>
    <s v="Emilia-Romagna"/>
    <s v="RN"/>
    <x v="0"/>
    <n v="96"/>
  </r>
  <r>
    <n v="402"/>
    <x v="73"/>
    <x v="5"/>
    <s v="Rieti"/>
    <s v="Cancelleria"/>
    <n v="681"/>
    <n v="4"/>
    <s v="Lazio"/>
    <s v="RI"/>
    <x v="1"/>
    <n v="80"/>
  </r>
  <r>
    <n v="403"/>
    <x v="97"/>
    <x v="0"/>
    <s v="Ravenna"/>
    <s v="Giocattoli"/>
    <n v="136"/>
    <n v="3"/>
    <s v="Emilia-Romagna"/>
    <s v="RA"/>
    <x v="0"/>
    <n v="70"/>
  </r>
  <r>
    <n v="404"/>
    <x v="58"/>
    <x v="4"/>
    <s v="Vibo Valentia"/>
    <s v="Informatica"/>
    <n v="1600"/>
    <n v="3"/>
    <s v="Calabria"/>
    <s v="VV"/>
    <x v="3"/>
    <n v="84"/>
  </r>
  <r>
    <n v="405"/>
    <x v="46"/>
    <x v="4"/>
    <s v="Viterbo"/>
    <s v="Cancelleria"/>
    <n v="1825"/>
    <n v="5"/>
    <s v="Lazio"/>
    <s v="VT"/>
    <x v="1"/>
    <n v="84"/>
  </r>
  <r>
    <n v="406"/>
    <x v="135"/>
    <x v="0"/>
    <s v="Treviso"/>
    <s v="Cancelleria"/>
    <n v="957"/>
    <n v="1"/>
    <s v="Veneto"/>
    <s v="TV"/>
    <x v="0"/>
    <n v="70"/>
  </r>
  <r>
    <n v="407"/>
    <x v="157"/>
    <x v="3"/>
    <s v="Savona"/>
    <s v="Libri"/>
    <n v="1941"/>
    <n v="5"/>
    <s v="Liguria"/>
    <s v="SV"/>
    <x v="0"/>
    <n v="96"/>
  </r>
  <r>
    <n v="408"/>
    <x v="160"/>
    <x v="4"/>
    <s v="Teramo"/>
    <s v="Art. Regalo"/>
    <n v="417"/>
    <n v="1"/>
    <s v="Abruzzo"/>
    <s v="TE"/>
    <x v="1"/>
    <n v="84"/>
  </r>
  <r>
    <n v="409"/>
    <x v="91"/>
    <x v="5"/>
    <s v="Vibo Valentia"/>
    <s v="Libri"/>
    <n v="1839"/>
    <n v="4"/>
    <s v="Calabria"/>
    <s v="VV"/>
    <x v="3"/>
    <n v="80"/>
  </r>
  <r>
    <n v="410"/>
    <x v="15"/>
    <x v="1"/>
    <s v="Udine"/>
    <s v="Giocattoli"/>
    <n v="1647"/>
    <n v="1"/>
    <s v="Friuli-Venezia Giulia"/>
    <s v="UD"/>
    <x v="0"/>
    <n v="87"/>
  </r>
  <r>
    <n v="411"/>
    <x v="34"/>
    <x v="4"/>
    <s v="Ravenna"/>
    <s v="Libri"/>
    <n v="87"/>
    <n v="5"/>
    <s v="Emilia-Romagna"/>
    <s v="RA"/>
    <x v="0"/>
    <n v="84"/>
  </r>
  <r>
    <n v="412"/>
    <x v="17"/>
    <x v="4"/>
    <s v="Pescara"/>
    <s v="Informatica"/>
    <n v="1123"/>
    <n v="2"/>
    <s v="Abruzzo"/>
    <s v="PE"/>
    <x v="1"/>
    <n v="84"/>
  </r>
  <r>
    <n v="413"/>
    <x v="140"/>
    <x v="2"/>
    <s v="Salerno"/>
    <s v="Libri"/>
    <n v="1881"/>
    <n v="1"/>
    <s v="Campania"/>
    <s v="SA"/>
    <x v="3"/>
    <n v="83"/>
  </r>
  <r>
    <n v="414"/>
    <x v="162"/>
    <x v="3"/>
    <s v="Pistoia"/>
    <s v="Libri"/>
    <n v="517"/>
    <n v="1"/>
    <s v="Toscana"/>
    <s v="PT"/>
    <x v="1"/>
    <n v="96"/>
  </r>
  <r>
    <n v="415"/>
    <x v="30"/>
    <x v="0"/>
    <s v="Siena"/>
    <s v="Cancelleria"/>
    <n v="1662"/>
    <n v="3"/>
    <s v="Toscana"/>
    <s v="SI"/>
    <x v="1"/>
    <n v="70"/>
  </r>
  <r>
    <n v="416"/>
    <x v="55"/>
    <x v="0"/>
    <s v="Venezia"/>
    <s v="Libri"/>
    <n v="540"/>
    <n v="4"/>
    <s v="Veneto"/>
    <s v="VE"/>
    <x v="0"/>
    <n v="70"/>
  </r>
  <r>
    <n v="417"/>
    <x v="133"/>
    <x v="1"/>
    <s v="Reggio di Calabria"/>
    <s v="Informatica"/>
    <n v="207"/>
    <n v="1"/>
    <s v="Calabria"/>
    <s v="RC"/>
    <x v="3"/>
    <n v="87"/>
  </r>
  <r>
    <n v="418"/>
    <x v="109"/>
    <x v="0"/>
    <s v="Piacenza"/>
    <s v="Cancelleria"/>
    <n v="879"/>
    <n v="2"/>
    <s v="Emilia-Romagna"/>
    <s v="PC"/>
    <x v="0"/>
    <n v="70"/>
  </r>
  <r>
    <n v="419"/>
    <x v="76"/>
    <x v="4"/>
    <s v="Ragusa"/>
    <s v="Libri"/>
    <n v="1602"/>
    <n v="5"/>
    <s v="Sicilia"/>
    <s v="RG"/>
    <x v="2"/>
    <n v="84"/>
  </r>
  <r>
    <n v="420"/>
    <x v="142"/>
    <x v="3"/>
    <s v="Potenza"/>
    <s v="Cancelleria"/>
    <n v="1061"/>
    <n v="1"/>
    <s v="Basilicata"/>
    <s v="PZ"/>
    <x v="3"/>
    <n v="96"/>
  </r>
  <r>
    <n v="421"/>
    <x v="1"/>
    <x v="3"/>
    <s v="Pisa"/>
    <s v="Giocattoli"/>
    <n v="569"/>
    <n v="1"/>
    <s v="Toscana"/>
    <s v="PI"/>
    <x v="1"/>
    <n v="96"/>
  </r>
  <r>
    <n v="422"/>
    <x v="83"/>
    <x v="1"/>
    <s v="Trapani"/>
    <s v="Libri"/>
    <n v="1479"/>
    <n v="3"/>
    <s v="Sicilia"/>
    <s v="TP"/>
    <x v="2"/>
    <n v="87"/>
  </r>
  <r>
    <n v="423"/>
    <x v="161"/>
    <x v="0"/>
    <s v="Reggio di Calabria"/>
    <s v="Art. Regalo"/>
    <n v="1940"/>
    <n v="5"/>
    <s v="Calabria"/>
    <s v="RC"/>
    <x v="3"/>
    <n v="70"/>
  </r>
  <r>
    <n v="424"/>
    <x v="123"/>
    <x v="4"/>
    <s v="Terni"/>
    <s v="Cancelleria"/>
    <n v="1590"/>
    <n v="5"/>
    <s v="Umbria"/>
    <s v="TR"/>
    <x v="1"/>
    <n v="84"/>
  </r>
  <r>
    <n v="425"/>
    <x v="60"/>
    <x v="0"/>
    <s v="Pistoia"/>
    <s v="Informatica"/>
    <n v="882"/>
    <n v="1"/>
    <s v="Toscana"/>
    <s v="PT"/>
    <x v="1"/>
    <n v="70"/>
  </r>
  <r>
    <n v="426"/>
    <x v="39"/>
    <x v="3"/>
    <s v="Taranto"/>
    <s v="Informatica"/>
    <n v="593"/>
    <n v="2"/>
    <s v="Puglia"/>
    <s v="TA"/>
    <x v="3"/>
    <n v="96"/>
  </r>
  <r>
    <n v="427"/>
    <x v="138"/>
    <x v="5"/>
    <s v="Piacenza"/>
    <s v="Art. Regalo"/>
    <n v="1853"/>
    <n v="1"/>
    <s v="Emilia-Romagna"/>
    <s v="PC"/>
    <x v="0"/>
    <n v="80"/>
  </r>
  <r>
    <n v="428"/>
    <x v="146"/>
    <x v="4"/>
    <s v="Pisa"/>
    <s v="Libri"/>
    <n v="1276"/>
    <n v="3"/>
    <s v="Toscana"/>
    <s v="PI"/>
    <x v="1"/>
    <n v="84"/>
  </r>
  <r>
    <n v="429"/>
    <x v="71"/>
    <x v="1"/>
    <s v="Perugia"/>
    <s v="Cancelleria"/>
    <n v="563"/>
    <n v="1"/>
    <s v="Umbria"/>
    <s v="PG"/>
    <x v="1"/>
    <n v="87"/>
  </r>
  <r>
    <n v="430"/>
    <x v="62"/>
    <x v="2"/>
    <s v="Vibo Valentia"/>
    <s v="Informatica"/>
    <n v="114"/>
    <n v="4"/>
    <s v="Calabria"/>
    <s v="VV"/>
    <x v="3"/>
    <n v="83"/>
  </r>
  <r>
    <n v="431"/>
    <x v="30"/>
    <x v="2"/>
    <s v="Taranto"/>
    <s v="Libri"/>
    <n v="997"/>
    <n v="3"/>
    <s v="Puglia"/>
    <s v="TA"/>
    <x v="3"/>
    <n v="83"/>
  </r>
  <r>
    <n v="432"/>
    <x v="35"/>
    <x v="3"/>
    <s v="Siena"/>
    <s v="Art. Regalo"/>
    <n v="492"/>
    <n v="1"/>
    <s v="Toscana"/>
    <s v="SI"/>
    <x v="1"/>
    <n v="96"/>
  </r>
  <r>
    <n v="433"/>
    <x v="125"/>
    <x v="5"/>
    <s v="Viterbo"/>
    <s v="Giocattoli"/>
    <n v="1722"/>
    <n v="3"/>
    <s v="Lazio"/>
    <s v="VT"/>
    <x v="1"/>
    <n v="80"/>
  </r>
  <r>
    <n v="434"/>
    <x v="52"/>
    <x v="3"/>
    <s v="Venezia"/>
    <s v="Informatica"/>
    <n v="1314"/>
    <n v="5"/>
    <s v="Veneto"/>
    <s v="VE"/>
    <x v="0"/>
    <n v="96"/>
  </r>
  <r>
    <n v="435"/>
    <x v="44"/>
    <x v="5"/>
    <s v="Rieti"/>
    <s v="Art. Regalo"/>
    <n v="702"/>
    <n v="2"/>
    <s v="Lazio"/>
    <s v="RI"/>
    <x v="1"/>
    <n v="80"/>
  </r>
  <r>
    <n v="436"/>
    <x v="70"/>
    <x v="1"/>
    <s v="Sassari"/>
    <s v="Informatica"/>
    <n v="1090"/>
    <n v="2"/>
    <s v="Sardegna"/>
    <s v="SS"/>
    <x v="2"/>
    <n v="87"/>
  </r>
  <r>
    <n v="437"/>
    <x v="88"/>
    <x v="2"/>
    <s v="Siena"/>
    <s v="Cancelleria"/>
    <n v="1552"/>
    <n v="5"/>
    <s v="Toscana"/>
    <s v="SI"/>
    <x v="1"/>
    <n v="83"/>
  </r>
  <r>
    <n v="438"/>
    <x v="64"/>
    <x v="2"/>
    <s v="Reggio di Calabria"/>
    <s v="Informatica"/>
    <n v="1087"/>
    <n v="4"/>
    <s v="Calabria"/>
    <s v="RC"/>
    <x v="3"/>
    <n v="83"/>
  </r>
  <r>
    <n v="439"/>
    <x v="86"/>
    <x v="3"/>
    <s v="Potenza"/>
    <s v="Art. Regalo"/>
    <n v="665"/>
    <n v="4"/>
    <s v="Basilicata"/>
    <s v="PZ"/>
    <x v="3"/>
    <n v="96"/>
  </r>
  <r>
    <n v="440"/>
    <x v="89"/>
    <x v="2"/>
    <s v="Verona"/>
    <s v="Giocattoli"/>
    <n v="1247"/>
    <n v="5"/>
    <s v="Veneto"/>
    <s v="VR"/>
    <x v="0"/>
    <n v="83"/>
  </r>
  <r>
    <n v="441"/>
    <x v="70"/>
    <x v="2"/>
    <s v="Reggio nell'Emilia"/>
    <s v="Libri"/>
    <n v="1265"/>
    <n v="5"/>
    <s v="Emilia-Romagna"/>
    <s v="RE"/>
    <x v="0"/>
    <n v="83"/>
  </r>
  <r>
    <n v="442"/>
    <x v="11"/>
    <x v="4"/>
    <s v="Salerno"/>
    <s v="Giocattoli"/>
    <n v="828"/>
    <n v="3"/>
    <s v="Campania"/>
    <s v="SA"/>
    <x v="3"/>
    <n v="84"/>
  </r>
  <r>
    <n v="443"/>
    <x v="78"/>
    <x v="4"/>
    <s v="Teramo"/>
    <s v="Giocattoli"/>
    <n v="1960"/>
    <n v="3"/>
    <s v="Abruzzo"/>
    <s v="TE"/>
    <x v="1"/>
    <n v="84"/>
  </r>
  <r>
    <n v="444"/>
    <x v="115"/>
    <x v="5"/>
    <s v="Pavia"/>
    <s v="Art. Regalo"/>
    <n v="120"/>
    <n v="4"/>
    <s v="Lombardia"/>
    <s v="PV"/>
    <x v="0"/>
    <n v="80"/>
  </r>
  <r>
    <n v="445"/>
    <x v="137"/>
    <x v="1"/>
    <s v="Roma"/>
    <s v="Art. Regalo"/>
    <n v="1951"/>
    <n v="3"/>
    <s v="Lazio"/>
    <s v="RM"/>
    <x v="1"/>
    <n v="87"/>
  </r>
  <r>
    <n v="446"/>
    <x v="159"/>
    <x v="2"/>
    <s v="Pistoia"/>
    <s v="Art. Regalo"/>
    <n v="756"/>
    <n v="2"/>
    <s v="Toscana"/>
    <s v="PT"/>
    <x v="1"/>
    <n v="83"/>
  </r>
  <r>
    <n v="447"/>
    <x v="163"/>
    <x v="3"/>
    <s v="Vibo Valentia"/>
    <s v="Informatica"/>
    <n v="178"/>
    <n v="5"/>
    <s v="Calabria"/>
    <s v="VV"/>
    <x v="3"/>
    <n v="96"/>
  </r>
  <r>
    <n v="448"/>
    <x v="25"/>
    <x v="1"/>
    <s v="Trapani"/>
    <s v="Art. Regalo"/>
    <n v="912"/>
    <n v="4"/>
    <s v="Sicilia"/>
    <s v="TP"/>
    <x v="2"/>
    <n v="87"/>
  </r>
  <r>
    <n v="449"/>
    <x v="164"/>
    <x v="2"/>
    <s v="Savona"/>
    <s v="Art. Regalo"/>
    <n v="216"/>
    <n v="1"/>
    <s v="Liguria"/>
    <s v="SV"/>
    <x v="0"/>
    <n v="83"/>
  </r>
  <r>
    <n v="450"/>
    <x v="150"/>
    <x v="2"/>
    <s v="Venezia"/>
    <s v="Informatica"/>
    <n v="647"/>
    <n v="2"/>
    <s v="Veneto"/>
    <s v="VE"/>
    <x v="0"/>
    <n v="83"/>
  </r>
  <r>
    <n v="451"/>
    <x v="7"/>
    <x v="1"/>
    <s v="Trapani"/>
    <s v="Informatica"/>
    <n v="1101"/>
    <n v="2"/>
    <s v="Sicilia"/>
    <s v="TP"/>
    <x v="2"/>
    <n v="87"/>
  </r>
  <r>
    <n v="452"/>
    <x v="129"/>
    <x v="1"/>
    <s v="Perugia"/>
    <s v="Libri"/>
    <n v="426"/>
    <n v="2"/>
    <s v="Umbria"/>
    <s v="PG"/>
    <x v="1"/>
    <n v="87"/>
  </r>
  <r>
    <n v="453"/>
    <x v="110"/>
    <x v="0"/>
    <s v="Trapani"/>
    <s v="Informatica"/>
    <n v="1476"/>
    <n v="1"/>
    <s v="Sicilia"/>
    <s v="TP"/>
    <x v="2"/>
    <n v="70"/>
  </r>
  <r>
    <n v="454"/>
    <x v="61"/>
    <x v="3"/>
    <s v="Rieti"/>
    <s v="Informatica"/>
    <n v="1417"/>
    <n v="2"/>
    <s v="Lazio"/>
    <s v="RI"/>
    <x v="1"/>
    <n v="96"/>
  </r>
  <r>
    <n v="455"/>
    <x v="104"/>
    <x v="2"/>
    <s v="Salerno"/>
    <s v="Libri"/>
    <n v="1715"/>
    <n v="2"/>
    <s v="Campania"/>
    <s v="SA"/>
    <x v="3"/>
    <n v="83"/>
  </r>
  <r>
    <n v="456"/>
    <x v="95"/>
    <x v="1"/>
    <s v="Siena"/>
    <s v="Informatica"/>
    <n v="1289"/>
    <n v="4"/>
    <s v="Toscana"/>
    <s v="SI"/>
    <x v="1"/>
    <n v="87"/>
  </r>
  <r>
    <n v="457"/>
    <x v="110"/>
    <x v="5"/>
    <s v="Pesaro e Urbino"/>
    <s v="Art. Regalo"/>
    <n v="1427"/>
    <n v="5"/>
    <s v="Marche"/>
    <s v="PS"/>
    <x v="1"/>
    <n v="80"/>
  </r>
  <r>
    <n v="458"/>
    <x v="87"/>
    <x v="5"/>
    <s v="Sondrio"/>
    <s v="Cancelleria"/>
    <n v="445"/>
    <n v="5"/>
    <s v="Lombardia"/>
    <s v="SO"/>
    <x v="0"/>
    <n v="80"/>
  </r>
  <r>
    <n v="459"/>
    <x v="111"/>
    <x v="3"/>
    <s v="Rimini"/>
    <s v="Libri"/>
    <n v="1390"/>
    <n v="4"/>
    <s v="Emilia-Romagna"/>
    <s v="RN"/>
    <x v="0"/>
    <n v="96"/>
  </r>
  <r>
    <n v="460"/>
    <x v="83"/>
    <x v="4"/>
    <s v="Potenza"/>
    <s v="Informatica"/>
    <n v="1897"/>
    <n v="3"/>
    <s v="Basilicata"/>
    <s v="PZ"/>
    <x v="3"/>
    <n v="84"/>
  </r>
  <r>
    <n v="461"/>
    <x v="142"/>
    <x v="0"/>
    <s v="Torino"/>
    <s v="Libri"/>
    <n v="713"/>
    <n v="5"/>
    <s v="Piemonte"/>
    <s v="TO"/>
    <x v="0"/>
    <n v="70"/>
  </r>
  <r>
    <n v="462"/>
    <x v="136"/>
    <x v="0"/>
    <s v="Terni"/>
    <s v="Cancelleria"/>
    <n v="1509"/>
    <n v="2"/>
    <s v="Umbria"/>
    <s v="TR"/>
    <x v="1"/>
    <n v="70"/>
  </r>
  <r>
    <n v="463"/>
    <x v="4"/>
    <x v="3"/>
    <s v="Sassari"/>
    <s v="Art. Regalo"/>
    <n v="210"/>
    <n v="4"/>
    <s v="Sardegna"/>
    <s v="SS"/>
    <x v="2"/>
    <n v="96"/>
  </r>
  <r>
    <n v="464"/>
    <x v="86"/>
    <x v="1"/>
    <s v="Pescara"/>
    <s v="Cancelleria"/>
    <n v="660"/>
    <n v="3"/>
    <s v="Abruzzo"/>
    <s v="PE"/>
    <x v="1"/>
    <n v="87"/>
  </r>
  <r>
    <n v="465"/>
    <x v="163"/>
    <x v="3"/>
    <s v="Perugia"/>
    <s v="Art. Regalo"/>
    <n v="872"/>
    <n v="2"/>
    <s v="Umbria"/>
    <s v="PG"/>
    <x v="1"/>
    <n v="96"/>
  </r>
  <r>
    <n v="466"/>
    <x v="5"/>
    <x v="3"/>
    <s v="Torino"/>
    <s v="Cancelleria"/>
    <n v="1225"/>
    <n v="5"/>
    <s v="Piemonte"/>
    <s v="TO"/>
    <x v="0"/>
    <n v="96"/>
  </r>
  <r>
    <n v="467"/>
    <x v="39"/>
    <x v="4"/>
    <s v="Sassari"/>
    <s v="Cancelleria"/>
    <n v="1916"/>
    <n v="5"/>
    <s v="Sardegna"/>
    <s v="SS"/>
    <x v="2"/>
    <n v="84"/>
  </r>
  <r>
    <n v="468"/>
    <x v="59"/>
    <x v="3"/>
    <s v="Verbano-Cusio-Ossola"/>
    <s v="Cancelleria"/>
    <n v="1173"/>
    <n v="2"/>
    <s v="Piemonte"/>
    <s v="VB"/>
    <x v="0"/>
    <n v="96"/>
  </r>
  <r>
    <n v="469"/>
    <x v="8"/>
    <x v="2"/>
    <s v="Roma"/>
    <s v="Libri"/>
    <n v="297"/>
    <n v="3"/>
    <s v="Lazio"/>
    <s v="RM"/>
    <x v="1"/>
    <n v="83"/>
  </r>
  <r>
    <n v="470"/>
    <x v="165"/>
    <x v="1"/>
    <s v="Viterbo"/>
    <s v="Libri"/>
    <n v="1244"/>
    <n v="5"/>
    <s v="Lazio"/>
    <s v="VT"/>
    <x v="1"/>
    <n v="87"/>
  </r>
  <r>
    <n v="471"/>
    <x v="105"/>
    <x v="1"/>
    <s v="Verbano-Cusio-Ossola"/>
    <s v="Giocattoli"/>
    <n v="1099"/>
    <n v="4"/>
    <s v="Piemonte"/>
    <s v="VB"/>
    <x v="0"/>
    <n v="87"/>
  </r>
  <r>
    <n v="472"/>
    <x v="166"/>
    <x v="4"/>
    <s v="Pordenone"/>
    <s v="Giocattoli"/>
    <n v="1448"/>
    <n v="1"/>
    <s v="Friuli-Venezia Giulia"/>
    <s v="PN"/>
    <x v="0"/>
    <n v="84"/>
  </r>
  <r>
    <n v="473"/>
    <x v="91"/>
    <x v="2"/>
    <s v="Ragusa"/>
    <s v="Libri"/>
    <n v="155"/>
    <n v="5"/>
    <s v="Sicilia"/>
    <s v="RG"/>
    <x v="2"/>
    <n v="83"/>
  </r>
  <r>
    <n v="474"/>
    <x v="107"/>
    <x v="3"/>
    <s v="Verbano-Cusio-Ossola"/>
    <s v="Cancelleria"/>
    <n v="214"/>
    <n v="2"/>
    <s v="Piemonte"/>
    <s v="VB"/>
    <x v="0"/>
    <n v="96"/>
  </r>
  <r>
    <n v="475"/>
    <x v="59"/>
    <x v="2"/>
    <s v="Trento"/>
    <s v="Informatica"/>
    <n v="1956"/>
    <n v="1"/>
    <s v="Trentino-Alto Adige"/>
    <s v="TN"/>
    <x v="0"/>
    <n v="83"/>
  </r>
  <r>
    <n v="476"/>
    <x v="57"/>
    <x v="3"/>
    <s v="Torino"/>
    <s v="Art. Regalo"/>
    <n v="1938"/>
    <n v="3"/>
    <s v="Piemonte"/>
    <s v="TO"/>
    <x v="0"/>
    <n v="96"/>
  </r>
  <r>
    <n v="477"/>
    <x v="151"/>
    <x v="2"/>
    <s v="Terni"/>
    <s v="Giocattoli"/>
    <n v="336"/>
    <n v="5"/>
    <s v="Umbria"/>
    <s v="TR"/>
    <x v="1"/>
    <n v="83"/>
  </r>
  <r>
    <n v="478"/>
    <x v="146"/>
    <x v="0"/>
    <s v="Teramo"/>
    <s v="Giocattoli"/>
    <n v="1467"/>
    <n v="1"/>
    <s v="Abruzzo"/>
    <s v="TE"/>
    <x v="1"/>
    <n v="70"/>
  </r>
  <r>
    <n v="479"/>
    <x v="88"/>
    <x v="5"/>
    <s v="Potenza"/>
    <s v="Cancelleria"/>
    <n v="308"/>
    <n v="5"/>
    <s v="Basilicata"/>
    <s v="PZ"/>
    <x v="3"/>
    <n v="80"/>
  </r>
  <r>
    <n v="480"/>
    <x v="26"/>
    <x v="2"/>
    <s v="Trieste"/>
    <s v="Libri"/>
    <n v="1581"/>
    <n v="3"/>
    <s v="Friuli-Venezia Giulia"/>
    <s v="TS"/>
    <x v="0"/>
    <n v="83"/>
  </r>
  <r>
    <n v="481"/>
    <x v="72"/>
    <x v="1"/>
    <s v="Vicenza"/>
    <s v="Giocattoli"/>
    <n v="539"/>
    <n v="5"/>
    <s v="Veneto"/>
    <s v="VI"/>
    <x v="0"/>
    <n v="87"/>
  </r>
  <r>
    <n v="482"/>
    <x v="132"/>
    <x v="3"/>
    <s v="Terni"/>
    <s v="Giocattoli"/>
    <n v="1847"/>
    <n v="1"/>
    <s v="Umbria"/>
    <s v="TR"/>
    <x v="1"/>
    <n v="96"/>
  </r>
  <r>
    <n v="483"/>
    <x v="122"/>
    <x v="5"/>
    <s v="Ravenna"/>
    <s v="Art. Regalo"/>
    <n v="495"/>
    <n v="3"/>
    <s v="Emilia-Romagna"/>
    <s v="RA"/>
    <x v="0"/>
    <n v="80"/>
  </r>
  <r>
    <n v="484"/>
    <x v="74"/>
    <x v="5"/>
    <s v="Siena"/>
    <s v="Cancelleria"/>
    <n v="369"/>
    <n v="5"/>
    <s v="Toscana"/>
    <s v="SI"/>
    <x v="1"/>
    <n v="80"/>
  </r>
  <r>
    <n v="485"/>
    <x v="31"/>
    <x v="4"/>
    <s v="Verona"/>
    <s v="Informatica"/>
    <n v="1963"/>
    <n v="3"/>
    <s v="Veneto"/>
    <s v="VR"/>
    <x v="0"/>
    <n v="84"/>
  </r>
  <r>
    <n v="486"/>
    <x v="40"/>
    <x v="3"/>
    <s v="Salerno"/>
    <s v="Art. Regalo"/>
    <n v="1334"/>
    <n v="3"/>
    <s v="Campania"/>
    <s v="SA"/>
    <x v="3"/>
    <n v="96"/>
  </r>
  <r>
    <n v="487"/>
    <x v="56"/>
    <x v="3"/>
    <s v="Trieste"/>
    <s v="Cancelleria"/>
    <n v="886"/>
    <n v="2"/>
    <s v="Friuli-Venezia Giulia"/>
    <s v="TS"/>
    <x v="0"/>
    <n v="96"/>
  </r>
  <r>
    <n v="488"/>
    <x v="142"/>
    <x v="1"/>
    <s v="Trento"/>
    <s v="Libri"/>
    <n v="689"/>
    <n v="3"/>
    <s v="Trentino-Alto Adige"/>
    <s v="TN"/>
    <x v="0"/>
    <n v="87"/>
  </r>
  <r>
    <n v="489"/>
    <x v="155"/>
    <x v="1"/>
    <s v="Treviso"/>
    <s v="Art. Regalo"/>
    <n v="1880"/>
    <n v="1"/>
    <s v="Veneto"/>
    <s v="TV"/>
    <x v="0"/>
    <n v="87"/>
  </r>
  <r>
    <n v="490"/>
    <x v="112"/>
    <x v="1"/>
    <s v="Prato"/>
    <s v="Art. Regalo"/>
    <n v="1357"/>
    <n v="4"/>
    <s v="Toscana"/>
    <s v="PO"/>
    <x v="1"/>
    <n v="87"/>
  </r>
  <r>
    <n v="491"/>
    <x v="117"/>
    <x v="2"/>
    <s v="Rieti"/>
    <s v="Libri"/>
    <n v="1007"/>
    <n v="5"/>
    <s v="Lazio"/>
    <s v="RI"/>
    <x v="1"/>
    <n v="83"/>
  </r>
  <r>
    <n v="492"/>
    <x v="150"/>
    <x v="2"/>
    <s v="Siracusa"/>
    <s v="Art. Regalo"/>
    <n v="1126"/>
    <n v="3"/>
    <s v="Sicilia"/>
    <s v="SR"/>
    <x v="2"/>
    <n v="83"/>
  </r>
  <r>
    <n v="493"/>
    <x v="117"/>
    <x v="3"/>
    <s v="Rovigo"/>
    <s v="Giocattoli"/>
    <n v="1779"/>
    <n v="1"/>
    <s v="Veneto"/>
    <s v="RO"/>
    <x v="0"/>
    <n v="96"/>
  </r>
  <r>
    <n v="494"/>
    <x v="78"/>
    <x v="3"/>
    <s v="Roma"/>
    <s v="Giocattoli"/>
    <n v="668"/>
    <n v="1"/>
    <s v="Lazio"/>
    <s v="RM"/>
    <x v="1"/>
    <n v="96"/>
  </r>
  <r>
    <n v="495"/>
    <x v="119"/>
    <x v="2"/>
    <s v="Trapani"/>
    <s v="Informatica"/>
    <n v="204"/>
    <n v="1"/>
    <s v="Sicilia"/>
    <s v="TP"/>
    <x v="2"/>
    <n v="83"/>
  </r>
  <r>
    <n v="496"/>
    <x v="63"/>
    <x v="5"/>
    <s v="Potenza"/>
    <s v="Art. Regalo"/>
    <n v="1517"/>
    <n v="5"/>
    <s v="Basilicata"/>
    <s v="PZ"/>
    <x v="3"/>
    <n v="80"/>
  </r>
  <r>
    <n v="497"/>
    <x v="160"/>
    <x v="5"/>
    <s v="Savona"/>
    <s v="Informatica"/>
    <n v="840"/>
    <n v="1"/>
    <s v="Liguria"/>
    <s v="SV"/>
    <x v="0"/>
    <n v="80"/>
  </r>
  <r>
    <n v="498"/>
    <x v="60"/>
    <x v="1"/>
    <s v="Ragusa"/>
    <s v="Informatica"/>
    <n v="1724"/>
    <n v="1"/>
    <s v="Sicilia"/>
    <s v="RG"/>
    <x v="2"/>
    <n v="87"/>
  </r>
  <r>
    <n v="499"/>
    <x v="167"/>
    <x v="3"/>
    <s v="Vibo Valentia"/>
    <s v="Informatica"/>
    <n v="951"/>
    <n v="3"/>
    <s v="Calabria"/>
    <s v="VV"/>
    <x v="3"/>
    <n v="96"/>
  </r>
  <r>
    <n v="500"/>
    <x v="168"/>
    <x v="4"/>
    <s v="Trapani"/>
    <s v="Cancelleria"/>
    <n v="1892"/>
    <n v="4"/>
    <s v="Sicilia"/>
    <s v="TP"/>
    <x v="2"/>
    <n v="8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4-03-21T00:00:00"/>
    <s v="Neri"/>
    <s v="Piacenza"/>
    <x v="0"/>
    <n v="360"/>
    <n v="3"/>
    <x v="0"/>
    <s v="PC"/>
    <x v="0"/>
    <n v="70"/>
    <s v="Fascia 1 (inferiore a 400 €)"/>
  </r>
  <r>
    <n v="2"/>
    <d v="2014-03-16T00:00:00"/>
    <s v="Bianchi"/>
    <s v="Pistoia"/>
    <x v="0"/>
    <n v="1496"/>
    <n v="5"/>
    <x v="1"/>
    <s v="PT"/>
    <x v="1"/>
    <n v="87"/>
    <s v="Fascia 4 (da 1200 €  a meno di 1500 €)"/>
  </r>
  <r>
    <n v="3"/>
    <d v="2014-02-24T00:00:00"/>
    <s v="Bianchi"/>
    <s v="Verbano-Cusio-Ossola"/>
    <x v="1"/>
    <n v="1342"/>
    <n v="4"/>
    <x v="2"/>
    <s v="VB"/>
    <x v="0"/>
    <n v="87"/>
    <s v="Fascia 4 (da 1200 €  a meno di 1500 €)"/>
  </r>
  <r>
    <n v="4"/>
    <d v="2014-06-20T00:00:00"/>
    <s v="Azzurri"/>
    <s v="Ravenna"/>
    <x v="2"/>
    <n v="972"/>
    <n v="1"/>
    <x v="0"/>
    <s v="RA"/>
    <x v="0"/>
    <n v="83"/>
    <s v="Fascia 3 (da 800 €  a meno di 1200 €)"/>
  </r>
  <r>
    <n v="5"/>
    <d v="2014-01-24T00:00:00"/>
    <s v="Bianchi"/>
    <s v="Pisa"/>
    <x v="1"/>
    <n v="348"/>
    <n v="2"/>
    <x v="1"/>
    <s v="PI"/>
    <x v="1"/>
    <n v="87"/>
    <s v="Fascia 1 (inferiore a 400 €)"/>
  </r>
  <r>
    <n v="6"/>
    <d v="2014-03-03T00:00:00"/>
    <s v="Bianchi"/>
    <s v="Vercelli"/>
    <x v="3"/>
    <n v="31"/>
    <n v="1"/>
    <x v="2"/>
    <s v="VC"/>
    <x v="0"/>
    <n v="87"/>
    <s v="Fascia 1 (inferiore a 400 €)"/>
  </r>
  <r>
    <n v="7"/>
    <d v="2014-04-09T00:00:00"/>
    <s v="Bianchi"/>
    <s v="Sassari"/>
    <x v="2"/>
    <n v="1087"/>
    <n v="4"/>
    <x v="3"/>
    <s v="SS"/>
    <x v="2"/>
    <n v="87"/>
    <s v="Fascia 3 (da 800 €  a meno di 1200 €)"/>
  </r>
  <r>
    <n v="8"/>
    <d v="2014-04-13T00:00:00"/>
    <s v="Azzurri"/>
    <s v="Sassari"/>
    <x v="1"/>
    <n v="760"/>
    <n v="2"/>
    <x v="3"/>
    <s v="SS"/>
    <x v="2"/>
    <n v="83"/>
    <s v="Fascia 2 (da 400 €  a meno di 800 €)"/>
  </r>
  <r>
    <n v="9"/>
    <d v="2014-04-25T00:00:00"/>
    <s v="Azzurri"/>
    <s v="Pistoia"/>
    <x v="1"/>
    <n v="10"/>
    <n v="5"/>
    <x v="1"/>
    <s v="PT"/>
    <x v="1"/>
    <n v="83"/>
    <s v="Fascia 1 (inferiore a 400 €)"/>
  </r>
  <r>
    <n v="10"/>
    <d v="2014-03-24T00:00:00"/>
    <s v="Azzurri"/>
    <s v="Trieste"/>
    <x v="0"/>
    <n v="357"/>
    <n v="2"/>
    <x v="4"/>
    <s v="TS"/>
    <x v="0"/>
    <n v="83"/>
    <s v="Fascia 1 (inferiore a 400 €)"/>
  </r>
  <r>
    <n v="11"/>
    <d v="2014-05-25T00:00:00"/>
    <s v="Azzurri"/>
    <s v="Sassari"/>
    <x v="1"/>
    <n v="19"/>
    <n v="1"/>
    <x v="3"/>
    <s v="SS"/>
    <x v="2"/>
    <n v="83"/>
    <s v="Fascia 1 (inferiore a 400 €)"/>
  </r>
  <r>
    <n v="12"/>
    <d v="2014-05-15T00:00:00"/>
    <s v="Rossi"/>
    <s v="Rimini"/>
    <x v="3"/>
    <n v="20"/>
    <n v="1"/>
    <x v="0"/>
    <s v="RN"/>
    <x v="0"/>
    <n v="96"/>
    <s v="Fascia 1 (inferiore a 400 €)"/>
  </r>
  <r>
    <n v="13"/>
    <d v="2014-05-18T00:00:00"/>
    <s v="Azzurri"/>
    <s v="Siena"/>
    <x v="0"/>
    <n v="604"/>
    <n v="1"/>
    <x v="1"/>
    <s v="SI"/>
    <x v="1"/>
    <n v="83"/>
    <s v="Fascia 2 (da 400 €  a meno di 800 €)"/>
  </r>
  <r>
    <n v="14"/>
    <d v="2014-01-02T00:00:00"/>
    <s v="Verdi"/>
    <s v="Potenza"/>
    <x v="4"/>
    <n v="856"/>
    <n v="3"/>
    <x v="5"/>
    <s v="PZ"/>
    <x v="3"/>
    <n v="84"/>
    <s v="Fascia 3 (da 800 €  a meno di 1200 €)"/>
  </r>
  <r>
    <n v="15"/>
    <d v="2014-03-14T00:00:00"/>
    <s v="Bianchi"/>
    <s v="Reggio nell'Emilia"/>
    <x v="4"/>
    <n v="833"/>
    <n v="3"/>
    <x v="0"/>
    <s v="RE"/>
    <x v="0"/>
    <n v="87"/>
    <s v="Fascia 3 (da 800 €  a meno di 1200 €)"/>
  </r>
  <r>
    <n v="16"/>
    <d v="2014-02-05T00:00:00"/>
    <s v="Verdi"/>
    <s v="Treviso"/>
    <x v="2"/>
    <n v="1782"/>
    <n v="2"/>
    <x v="6"/>
    <s v="TV"/>
    <x v="0"/>
    <n v="84"/>
    <s v="Fascia 5 (da 1500 € e oltre)"/>
  </r>
  <r>
    <n v="17"/>
    <d v="2014-05-21T00:00:00"/>
    <s v="Bianchi"/>
    <s v="Pavia"/>
    <x v="4"/>
    <n v="1428"/>
    <n v="5"/>
    <x v="7"/>
    <s v="PV"/>
    <x v="0"/>
    <n v="87"/>
    <s v="Fascia 4 (da 1200 €  a meno di 1500 €)"/>
  </r>
  <r>
    <n v="18"/>
    <d v="2014-03-22T00:00:00"/>
    <s v="Bianchi"/>
    <s v="Savona"/>
    <x v="1"/>
    <n v="1677"/>
    <n v="5"/>
    <x v="8"/>
    <s v="SV"/>
    <x v="0"/>
    <n v="87"/>
    <s v="Fascia 5 (da 1500 € e oltre)"/>
  </r>
  <r>
    <n v="19"/>
    <d v="2014-04-05T00:00:00"/>
    <s v="Gialli"/>
    <s v="Rimini"/>
    <x v="2"/>
    <n v="1514"/>
    <n v="2"/>
    <x v="0"/>
    <s v="RN"/>
    <x v="0"/>
    <n v="80"/>
    <s v="Fascia 5 (da 1500 € e oltre)"/>
  </r>
  <r>
    <n v="20"/>
    <d v="2014-04-11T00:00:00"/>
    <s v="Rossi"/>
    <s v="Venezia"/>
    <x v="4"/>
    <n v="459"/>
    <n v="3"/>
    <x v="6"/>
    <s v="VE"/>
    <x v="0"/>
    <n v="96"/>
    <s v="Fascia 2 (da 400 €  a meno di 800 €)"/>
  </r>
  <r>
    <n v="21"/>
    <d v="2014-01-03T00:00:00"/>
    <s v="Verdi"/>
    <s v="Vercelli"/>
    <x v="3"/>
    <n v="344"/>
    <n v="2"/>
    <x v="2"/>
    <s v="VC"/>
    <x v="0"/>
    <n v="84"/>
    <s v="Fascia 1 (inferiore a 400 €)"/>
  </r>
  <r>
    <n v="22"/>
    <d v="2014-06-26T00:00:00"/>
    <s v="Neri"/>
    <s v="Verona"/>
    <x v="4"/>
    <n v="10"/>
    <n v="4"/>
    <x v="6"/>
    <s v="VR"/>
    <x v="0"/>
    <n v="70"/>
    <s v="Fascia 1 (inferiore a 400 €)"/>
  </r>
  <r>
    <n v="23"/>
    <d v="2014-05-22T00:00:00"/>
    <s v="Rossi"/>
    <s v="Rovigo"/>
    <x v="1"/>
    <n v="1582"/>
    <n v="3"/>
    <x v="6"/>
    <s v="RO"/>
    <x v="0"/>
    <n v="96"/>
    <s v="Fascia 5 (da 1500 € e oltre)"/>
  </r>
  <r>
    <n v="24"/>
    <d v="2014-02-24T00:00:00"/>
    <s v="Azzurri"/>
    <s v="Trapani"/>
    <x v="4"/>
    <n v="1072"/>
    <n v="5"/>
    <x v="9"/>
    <s v="TP"/>
    <x v="2"/>
    <n v="83"/>
    <s v="Fascia 3 (da 800 €  a meno di 1200 €)"/>
  </r>
  <r>
    <n v="25"/>
    <d v="2014-04-11T00:00:00"/>
    <s v="Rossi"/>
    <s v="Sondrio"/>
    <x v="4"/>
    <n v="1793"/>
    <n v="5"/>
    <x v="7"/>
    <s v="SO"/>
    <x v="0"/>
    <n v="96"/>
    <s v="Fascia 5 (da 1500 € e oltre)"/>
  </r>
  <r>
    <n v="26"/>
    <d v="2014-01-30T00:00:00"/>
    <s v="Neri"/>
    <s v="Rimini"/>
    <x v="3"/>
    <n v="1039"/>
    <n v="1"/>
    <x v="0"/>
    <s v="RN"/>
    <x v="0"/>
    <n v="70"/>
    <s v="Fascia 3 (da 800 €  a meno di 1200 €)"/>
  </r>
  <r>
    <n v="27"/>
    <d v="2014-06-11T00:00:00"/>
    <s v="Neri"/>
    <s v="Vicenza"/>
    <x v="2"/>
    <n v="1114"/>
    <n v="5"/>
    <x v="6"/>
    <s v="VI"/>
    <x v="0"/>
    <n v="70"/>
    <s v="Fascia 3 (da 800 €  a meno di 1200 €)"/>
  </r>
  <r>
    <n v="28"/>
    <d v="2014-03-30T00:00:00"/>
    <s v="Azzurri"/>
    <s v="Pistoia"/>
    <x v="3"/>
    <n v="643"/>
    <n v="1"/>
    <x v="1"/>
    <s v="PT"/>
    <x v="1"/>
    <n v="83"/>
    <s v="Fascia 2 (da 400 €  a meno di 800 €)"/>
  </r>
  <r>
    <n v="29"/>
    <d v="2014-05-27T00:00:00"/>
    <s v="Gialli"/>
    <s v="Reggio nell'Emilia"/>
    <x v="3"/>
    <n v="328"/>
    <n v="4"/>
    <x v="0"/>
    <s v="RE"/>
    <x v="0"/>
    <n v="80"/>
    <s v="Fascia 1 (inferiore a 400 €)"/>
  </r>
  <r>
    <n v="30"/>
    <d v="2014-06-08T00:00:00"/>
    <s v="Bianchi"/>
    <s v="Pesaro e Urbino"/>
    <x v="2"/>
    <n v="95"/>
    <n v="3"/>
    <x v="10"/>
    <s v="PS"/>
    <x v="1"/>
    <n v="87"/>
    <s v="Fascia 1 (inferiore a 400 €)"/>
  </r>
  <r>
    <n v="31"/>
    <d v="2014-04-04T00:00:00"/>
    <s v="Bianchi"/>
    <s v="Treviso"/>
    <x v="0"/>
    <n v="270"/>
    <n v="5"/>
    <x v="6"/>
    <s v="TV"/>
    <x v="0"/>
    <n v="87"/>
    <s v="Fascia 1 (inferiore a 400 €)"/>
  </r>
  <r>
    <n v="32"/>
    <d v="2014-05-07T00:00:00"/>
    <s v="Neri"/>
    <s v="Sassari"/>
    <x v="2"/>
    <n v="1640"/>
    <n v="5"/>
    <x v="3"/>
    <s v="SS"/>
    <x v="2"/>
    <n v="70"/>
    <s v="Fascia 5 (da 1500 € e oltre)"/>
  </r>
  <r>
    <n v="33"/>
    <d v="2014-01-23T00:00:00"/>
    <s v="Gialli"/>
    <s v="Trento"/>
    <x v="3"/>
    <n v="759"/>
    <n v="2"/>
    <x v="11"/>
    <s v="TN"/>
    <x v="0"/>
    <n v="80"/>
    <s v="Fascia 2 (da 400 €  a meno di 800 €)"/>
  </r>
  <r>
    <n v="34"/>
    <d v="2014-05-24T00:00:00"/>
    <s v="Azzurri"/>
    <s v="Trapani"/>
    <x v="1"/>
    <n v="1288"/>
    <n v="1"/>
    <x v="9"/>
    <s v="TP"/>
    <x v="2"/>
    <n v="83"/>
    <s v="Fascia 4 (da 1200 €  a meno di 1500 €)"/>
  </r>
  <r>
    <n v="35"/>
    <d v="2014-03-31T00:00:00"/>
    <s v="Azzurri"/>
    <s v="Viterbo"/>
    <x v="0"/>
    <n v="1857"/>
    <n v="3"/>
    <x v="12"/>
    <s v="VT"/>
    <x v="1"/>
    <n v="83"/>
    <s v="Fascia 5 (da 1500 € e oltre)"/>
  </r>
  <r>
    <n v="36"/>
    <d v="2014-05-06T00:00:00"/>
    <s v="Gialli"/>
    <s v="Torino"/>
    <x v="4"/>
    <n v="1558"/>
    <n v="3"/>
    <x v="2"/>
    <s v="TO"/>
    <x v="0"/>
    <n v="80"/>
    <s v="Fascia 5 (da 1500 € e oltre)"/>
  </r>
  <r>
    <n v="37"/>
    <d v="2014-03-13T00:00:00"/>
    <s v="Gialli"/>
    <s v="Potenza"/>
    <x v="4"/>
    <n v="1879"/>
    <n v="3"/>
    <x v="5"/>
    <s v="PZ"/>
    <x v="3"/>
    <n v="80"/>
    <s v="Fascia 5 (da 1500 € e oltre)"/>
  </r>
  <r>
    <n v="38"/>
    <d v="2014-05-12T00:00:00"/>
    <s v="Neri"/>
    <s v="Salerno"/>
    <x v="1"/>
    <n v="155"/>
    <n v="1"/>
    <x v="13"/>
    <s v="SA"/>
    <x v="3"/>
    <n v="70"/>
    <s v="Fascia 1 (inferiore a 400 €)"/>
  </r>
  <r>
    <n v="39"/>
    <d v="2014-03-19T00:00:00"/>
    <s v="Rossi"/>
    <s v="Sassari"/>
    <x v="2"/>
    <n v="1361"/>
    <n v="3"/>
    <x v="3"/>
    <s v="SS"/>
    <x v="2"/>
    <n v="96"/>
    <s v="Fascia 4 (da 1200 €  a meno di 1500 €)"/>
  </r>
  <r>
    <n v="40"/>
    <d v="2014-06-21T00:00:00"/>
    <s v="Neri"/>
    <s v="Vicenza"/>
    <x v="0"/>
    <n v="735"/>
    <n v="5"/>
    <x v="6"/>
    <s v="VI"/>
    <x v="0"/>
    <n v="70"/>
    <s v="Fascia 2 (da 400 €  a meno di 800 €)"/>
  </r>
  <r>
    <n v="41"/>
    <d v="2014-05-18T00:00:00"/>
    <s v="Rossi"/>
    <s v="Pisa"/>
    <x v="3"/>
    <n v="1916"/>
    <n v="3"/>
    <x v="1"/>
    <s v="PI"/>
    <x v="1"/>
    <n v="96"/>
    <s v="Fascia 5 (da 1500 € e oltre)"/>
  </r>
  <r>
    <n v="42"/>
    <d v="2014-03-18T00:00:00"/>
    <s v="Bianchi"/>
    <s v="Vicenza"/>
    <x v="0"/>
    <n v="1747"/>
    <n v="5"/>
    <x v="6"/>
    <s v="VI"/>
    <x v="0"/>
    <n v="87"/>
    <s v="Fascia 5 (da 1500 € e oltre)"/>
  </r>
  <r>
    <n v="43"/>
    <d v="2014-01-21T00:00:00"/>
    <s v="Rossi"/>
    <s v="Ragusa"/>
    <x v="4"/>
    <n v="1313"/>
    <n v="4"/>
    <x v="9"/>
    <s v="RG"/>
    <x v="2"/>
    <n v="96"/>
    <s v="Fascia 4 (da 1200 €  a meno di 1500 €)"/>
  </r>
  <r>
    <n v="44"/>
    <d v="2014-03-14T00:00:00"/>
    <s v="Neri"/>
    <s v="Savona"/>
    <x v="0"/>
    <n v="1260"/>
    <n v="4"/>
    <x v="8"/>
    <s v="SV"/>
    <x v="0"/>
    <n v="70"/>
    <s v="Fascia 4 (da 1200 €  a meno di 1500 €)"/>
  </r>
  <r>
    <n v="45"/>
    <d v="2014-05-28T00:00:00"/>
    <s v="Gialli"/>
    <s v="Reggio nell'Emilia"/>
    <x v="3"/>
    <n v="1484"/>
    <n v="2"/>
    <x v="0"/>
    <s v="RE"/>
    <x v="0"/>
    <n v="80"/>
    <s v="Fascia 4 (da 1200 €  a meno di 1500 €)"/>
  </r>
  <r>
    <n v="46"/>
    <d v="2014-04-10T00:00:00"/>
    <s v="Gialli"/>
    <s v="Potenza"/>
    <x v="2"/>
    <n v="1887"/>
    <n v="5"/>
    <x v="5"/>
    <s v="PZ"/>
    <x v="3"/>
    <n v="80"/>
    <s v="Fascia 5 (da 1500 € e oltre)"/>
  </r>
  <r>
    <n v="47"/>
    <d v="2014-04-04T00:00:00"/>
    <s v="Azzurri"/>
    <s v="Vibo Valentia"/>
    <x v="0"/>
    <n v="1918"/>
    <n v="3"/>
    <x v="14"/>
    <s v="VV"/>
    <x v="3"/>
    <n v="83"/>
    <s v="Fascia 5 (da 1500 € e oltre)"/>
  </r>
  <r>
    <n v="48"/>
    <d v="2014-06-08T00:00:00"/>
    <s v="Gialli"/>
    <s v="Verbano-Cusio-Ossola"/>
    <x v="4"/>
    <n v="934"/>
    <n v="2"/>
    <x v="2"/>
    <s v="VB"/>
    <x v="0"/>
    <n v="80"/>
    <s v="Fascia 3 (da 800 €  a meno di 1200 €)"/>
  </r>
  <r>
    <n v="49"/>
    <d v="2014-03-01T00:00:00"/>
    <s v="Verdi"/>
    <s v="Venezia"/>
    <x v="3"/>
    <n v="503"/>
    <n v="5"/>
    <x v="6"/>
    <s v="VE"/>
    <x v="0"/>
    <n v="84"/>
    <s v="Fascia 2 (da 400 €  a meno di 800 €)"/>
  </r>
  <r>
    <n v="50"/>
    <d v="2014-02-24T00:00:00"/>
    <s v="Rossi"/>
    <s v="Viterbo"/>
    <x v="0"/>
    <n v="590"/>
    <n v="4"/>
    <x v="12"/>
    <s v="VT"/>
    <x v="1"/>
    <n v="96"/>
    <s v="Fascia 2 (da 400 €  a meno di 800 €)"/>
  </r>
  <r>
    <n v="51"/>
    <d v="2014-04-21T00:00:00"/>
    <s v="Neri"/>
    <s v="Siena"/>
    <x v="2"/>
    <n v="1297"/>
    <n v="1"/>
    <x v="1"/>
    <s v="SI"/>
    <x v="1"/>
    <n v="70"/>
    <s v="Fascia 4 (da 1200 €  a meno di 1500 €)"/>
  </r>
  <r>
    <n v="52"/>
    <d v="2014-04-13T00:00:00"/>
    <s v="Rossi"/>
    <s v="Terni"/>
    <x v="3"/>
    <n v="67"/>
    <n v="2"/>
    <x v="15"/>
    <s v="TR"/>
    <x v="1"/>
    <n v="96"/>
    <s v="Fascia 1 (inferiore a 400 €)"/>
  </r>
  <r>
    <n v="53"/>
    <d v="2014-02-11T00:00:00"/>
    <s v="Neri"/>
    <s v="Prato"/>
    <x v="0"/>
    <n v="1152"/>
    <n v="4"/>
    <x v="1"/>
    <s v="PO"/>
    <x v="1"/>
    <n v="70"/>
    <s v="Fascia 3 (da 800 €  a meno di 1200 €)"/>
  </r>
  <r>
    <n v="54"/>
    <d v="2014-01-29T00:00:00"/>
    <s v="Verdi"/>
    <s v="Pavia"/>
    <x v="3"/>
    <n v="401"/>
    <n v="2"/>
    <x v="7"/>
    <s v="PV"/>
    <x v="0"/>
    <n v="84"/>
    <s v="Fascia 2 (da 400 €  a meno di 800 €)"/>
  </r>
  <r>
    <n v="55"/>
    <d v="2014-03-23T00:00:00"/>
    <s v="Rossi"/>
    <s v="Reggio di Calabria"/>
    <x v="0"/>
    <n v="596"/>
    <n v="3"/>
    <x v="14"/>
    <s v="RC"/>
    <x v="3"/>
    <n v="96"/>
    <s v="Fascia 2 (da 400 €  a meno di 800 €)"/>
  </r>
  <r>
    <n v="56"/>
    <d v="2014-06-06T00:00:00"/>
    <s v="Azzurri"/>
    <s v="Prato"/>
    <x v="1"/>
    <n v="1724"/>
    <n v="4"/>
    <x v="1"/>
    <s v="PO"/>
    <x v="1"/>
    <n v="83"/>
    <s v="Fascia 5 (da 1500 € e oltre)"/>
  </r>
  <r>
    <n v="57"/>
    <d v="2014-01-04T00:00:00"/>
    <s v="Gialli"/>
    <s v="Rimini"/>
    <x v="1"/>
    <n v="721"/>
    <n v="3"/>
    <x v="0"/>
    <s v="RN"/>
    <x v="0"/>
    <n v="80"/>
    <s v="Fascia 2 (da 400 €  a meno di 800 €)"/>
  </r>
  <r>
    <n v="58"/>
    <d v="2014-06-15T00:00:00"/>
    <s v="Bianchi"/>
    <s v="Piacenza"/>
    <x v="2"/>
    <n v="939"/>
    <n v="3"/>
    <x v="0"/>
    <s v="PC"/>
    <x v="0"/>
    <n v="87"/>
    <s v="Fascia 3 (da 800 €  a meno di 1200 €)"/>
  </r>
  <r>
    <n v="59"/>
    <d v="2014-01-18T00:00:00"/>
    <s v="Rossi"/>
    <s v="Vercelli"/>
    <x v="4"/>
    <n v="443"/>
    <n v="5"/>
    <x v="2"/>
    <s v="VC"/>
    <x v="0"/>
    <n v="96"/>
    <s v="Fascia 2 (da 400 €  a meno di 800 €)"/>
  </r>
  <r>
    <n v="60"/>
    <d v="2014-02-01T00:00:00"/>
    <s v="Bianchi"/>
    <s v="Reggio di Calabria"/>
    <x v="4"/>
    <n v="986"/>
    <n v="5"/>
    <x v="14"/>
    <s v="RC"/>
    <x v="3"/>
    <n v="87"/>
    <s v="Fascia 3 (da 800 €  a meno di 1200 €)"/>
  </r>
  <r>
    <n v="61"/>
    <d v="2014-04-15T00:00:00"/>
    <s v="Verdi"/>
    <s v="Reggio nell'Emilia"/>
    <x v="3"/>
    <n v="90"/>
    <n v="1"/>
    <x v="0"/>
    <s v="RE"/>
    <x v="0"/>
    <n v="84"/>
    <s v="Fascia 1 (inferiore a 400 €)"/>
  </r>
  <r>
    <n v="62"/>
    <d v="2014-06-11T00:00:00"/>
    <s v="Neri"/>
    <s v="Viterbo"/>
    <x v="3"/>
    <n v="32"/>
    <n v="5"/>
    <x v="12"/>
    <s v="VT"/>
    <x v="1"/>
    <n v="70"/>
    <s v="Fascia 1 (inferiore a 400 €)"/>
  </r>
  <r>
    <n v="63"/>
    <d v="2014-04-16T00:00:00"/>
    <s v="Neri"/>
    <s v="Treviso"/>
    <x v="4"/>
    <n v="968"/>
    <n v="1"/>
    <x v="6"/>
    <s v="TV"/>
    <x v="0"/>
    <n v="70"/>
    <s v="Fascia 3 (da 800 €  a meno di 1200 €)"/>
  </r>
  <r>
    <n v="64"/>
    <d v="2014-02-04T00:00:00"/>
    <s v="Azzurri"/>
    <s v="Sondrio"/>
    <x v="2"/>
    <n v="772"/>
    <n v="2"/>
    <x v="7"/>
    <s v="SO"/>
    <x v="0"/>
    <n v="83"/>
    <s v="Fascia 2 (da 400 €  a meno di 800 €)"/>
  </r>
  <r>
    <n v="65"/>
    <d v="2014-03-26T00:00:00"/>
    <s v="Gialli"/>
    <s v="Trapani"/>
    <x v="1"/>
    <n v="1838"/>
    <n v="3"/>
    <x v="9"/>
    <s v="TP"/>
    <x v="2"/>
    <n v="80"/>
    <s v="Fascia 5 (da 1500 € e oltre)"/>
  </r>
  <r>
    <n v="66"/>
    <d v="2014-06-26T00:00:00"/>
    <s v="Bianchi"/>
    <s v="Sondrio"/>
    <x v="4"/>
    <n v="191"/>
    <n v="1"/>
    <x v="7"/>
    <s v="SO"/>
    <x v="0"/>
    <n v="87"/>
    <s v="Fascia 1 (inferiore a 400 €)"/>
  </r>
  <r>
    <n v="67"/>
    <d v="2014-03-02T00:00:00"/>
    <s v="Neri"/>
    <s v="Verbano-Cusio-Ossola"/>
    <x v="2"/>
    <n v="1334"/>
    <n v="1"/>
    <x v="2"/>
    <s v="VB"/>
    <x v="0"/>
    <n v="70"/>
    <s v="Fascia 4 (da 1200 €  a meno di 1500 €)"/>
  </r>
  <r>
    <n v="68"/>
    <d v="2014-01-20T00:00:00"/>
    <s v="Rossi"/>
    <s v="Torino"/>
    <x v="1"/>
    <n v="1707"/>
    <n v="4"/>
    <x v="2"/>
    <s v="TO"/>
    <x v="0"/>
    <n v="96"/>
    <s v="Fascia 5 (da 1500 € e oltre)"/>
  </r>
  <r>
    <n v="69"/>
    <d v="2014-01-02T00:00:00"/>
    <s v="Rossi"/>
    <s v="Rimini"/>
    <x v="0"/>
    <n v="897"/>
    <n v="2"/>
    <x v="0"/>
    <s v="RN"/>
    <x v="0"/>
    <n v="96"/>
    <s v="Fascia 3 (da 800 €  a meno di 1200 €)"/>
  </r>
  <r>
    <n v="70"/>
    <d v="2014-06-02T00:00:00"/>
    <s v="Rossi"/>
    <s v="Teramo"/>
    <x v="1"/>
    <n v="816"/>
    <n v="1"/>
    <x v="16"/>
    <s v="TE"/>
    <x v="1"/>
    <n v="96"/>
    <s v="Fascia 3 (da 800 €  a meno di 1200 €)"/>
  </r>
  <r>
    <n v="71"/>
    <d v="2014-06-12T00:00:00"/>
    <s v="Bianchi"/>
    <s v="Vibo Valentia"/>
    <x v="0"/>
    <n v="1049"/>
    <n v="3"/>
    <x v="14"/>
    <s v="VV"/>
    <x v="3"/>
    <n v="87"/>
    <s v="Fascia 3 (da 800 €  a meno di 1200 €)"/>
  </r>
  <r>
    <n v="72"/>
    <d v="2014-05-03T00:00:00"/>
    <s v="Rossi"/>
    <s v="Perugia"/>
    <x v="0"/>
    <n v="1037"/>
    <n v="4"/>
    <x v="15"/>
    <s v="PG"/>
    <x v="1"/>
    <n v="96"/>
    <s v="Fascia 3 (da 800 €  a meno di 1200 €)"/>
  </r>
  <r>
    <n v="73"/>
    <d v="2014-04-09T00:00:00"/>
    <s v="Bianchi"/>
    <s v="Pordenone"/>
    <x v="4"/>
    <n v="1235"/>
    <n v="3"/>
    <x v="4"/>
    <s v="PN"/>
    <x v="0"/>
    <n v="87"/>
    <s v="Fascia 4 (da 1200 €  a meno di 1500 €)"/>
  </r>
  <r>
    <n v="74"/>
    <d v="2014-03-22T00:00:00"/>
    <s v="Verdi"/>
    <s v="Udine"/>
    <x v="3"/>
    <n v="294"/>
    <n v="3"/>
    <x v="4"/>
    <s v="UD"/>
    <x v="0"/>
    <n v="84"/>
    <s v="Fascia 1 (inferiore a 400 €)"/>
  </r>
  <r>
    <n v="75"/>
    <d v="2014-03-17T00:00:00"/>
    <s v="Gialli"/>
    <s v="Varese"/>
    <x v="4"/>
    <n v="785"/>
    <n v="4"/>
    <x v="7"/>
    <s v="VA"/>
    <x v="0"/>
    <n v="80"/>
    <s v="Fascia 2 (da 400 €  a meno di 800 €)"/>
  </r>
  <r>
    <n v="76"/>
    <d v="2014-03-30T00:00:00"/>
    <s v="Bianchi"/>
    <s v="Pesaro e Urbino"/>
    <x v="3"/>
    <n v="568"/>
    <n v="4"/>
    <x v="10"/>
    <s v="PS"/>
    <x v="1"/>
    <n v="87"/>
    <s v="Fascia 2 (da 400 €  a meno di 800 €)"/>
  </r>
  <r>
    <n v="77"/>
    <d v="2014-02-07T00:00:00"/>
    <s v="Bianchi"/>
    <s v="Torino"/>
    <x v="2"/>
    <n v="1932"/>
    <n v="3"/>
    <x v="2"/>
    <s v="TO"/>
    <x v="0"/>
    <n v="87"/>
    <s v="Fascia 5 (da 1500 € e oltre)"/>
  </r>
  <r>
    <n v="78"/>
    <d v="2014-02-07T00:00:00"/>
    <s v="Neri"/>
    <s v="Pistoia"/>
    <x v="1"/>
    <n v="1124"/>
    <n v="4"/>
    <x v="1"/>
    <s v="PT"/>
    <x v="1"/>
    <n v="70"/>
    <s v="Fascia 3 (da 800 €  a meno di 1200 €)"/>
  </r>
  <r>
    <n v="79"/>
    <d v="2014-06-22T00:00:00"/>
    <s v="Rossi"/>
    <s v="Sondrio"/>
    <x v="3"/>
    <n v="920"/>
    <n v="1"/>
    <x v="7"/>
    <s v="SO"/>
    <x v="0"/>
    <n v="96"/>
    <s v="Fascia 3 (da 800 €  a meno di 1200 €)"/>
  </r>
  <r>
    <n v="80"/>
    <d v="2014-03-25T00:00:00"/>
    <s v="Neri"/>
    <s v="Pavia"/>
    <x v="2"/>
    <n v="44"/>
    <n v="1"/>
    <x v="7"/>
    <s v="PV"/>
    <x v="0"/>
    <n v="70"/>
    <s v="Fascia 1 (inferiore a 400 €)"/>
  </r>
  <r>
    <n v="81"/>
    <d v="2014-05-21T00:00:00"/>
    <s v="Neri"/>
    <s v="Piacenza"/>
    <x v="2"/>
    <n v="1261"/>
    <n v="1"/>
    <x v="0"/>
    <s v="PC"/>
    <x v="0"/>
    <n v="70"/>
    <s v="Fascia 4 (da 1200 €  a meno di 1500 €)"/>
  </r>
  <r>
    <n v="82"/>
    <d v="2014-01-22T00:00:00"/>
    <s v="Azzurri"/>
    <s v="Reggio nell'Emilia"/>
    <x v="3"/>
    <n v="1283"/>
    <n v="4"/>
    <x v="0"/>
    <s v="RE"/>
    <x v="0"/>
    <n v="83"/>
    <s v="Fascia 4 (da 1200 €  a meno di 1500 €)"/>
  </r>
  <r>
    <n v="83"/>
    <d v="2014-03-23T00:00:00"/>
    <s v="Gialli"/>
    <s v="Roma"/>
    <x v="1"/>
    <n v="311"/>
    <n v="2"/>
    <x v="12"/>
    <s v="RM"/>
    <x v="1"/>
    <n v="80"/>
    <s v="Fascia 1 (inferiore a 400 €)"/>
  </r>
  <r>
    <n v="84"/>
    <d v="2014-05-12T00:00:00"/>
    <s v="Rossi"/>
    <s v="Siracusa"/>
    <x v="1"/>
    <n v="1164"/>
    <n v="5"/>
    <x v="9"/>
    <s v="SR"/>
    <x v="2"/>
    <n v="96"/>
    <s v="Fascia 3 (da 800 €  a meno di 1200 €)"/>
  </r>
  <r>
    <n v="85"/>
    <d v="2014-04-14T00:00:00"/>
    <s v="Verdi"/>
    <s v="Reggio di Calabria"/>
    <x v="0"/>
    <n v="1129"/>
    <n v="3"/>
    <x v="14"/>
    <s v="RC"/>
    <x v="3"/>
    <n v="84"/>
    <s v="Fascia 3 (da 800 €  a meno di 1200 €)"/>
  </r>
  <r>
    <n v="86"/>
    <d v="2014-02-13T00:00:00"/>
    <s v="Neri"/>
    <s v="Savona"/>
    <x v="0"/>
    <n v="1965"/>
    <n v="3"/>
    <x v="8"/>
    <s v="SV"/>
    <x v="0"/>
    <n v="70"/>
    <s v="Fascia 5 (da 1500 € e oltre)"/>
  </r>
  <r>
    <n v="87"/>
    <d v="2014-04-20T00:00:00"/>
    <s v="Gialli"/>
    <s v="Verona"/>
    <x v="1"/>
    <n v="1812"/>
    <n v="3"/>
    <x v="6"/>
    <s v="VR"/>
    <x v="0"/>
    <n v="80"/>
    <s v="Fascia 5 (da 1500 € e oltre)"/>
  </r>
  <r>
    <n v="88"/>
    <d v="2014-02-11T00:00:00"/>
    <s v="Rossi"/>
    <s v="Reggio nell'Emilia"/>
    <x v="3"/>
    <n v="1884"/>
    <n v="4"/>
    <x v="0"/>
    <s v="RE"/>
    <x v="0"/>
    <n v="96"/>
    <s v="Fascia 5 (da 1500 € e oltre)"/>
  </r>
  <r>
    <n v="89"/>
    <d v="2014-06-06T00:00:00"/>
    <s v="Gialli"/>
    <s v="Salerno"/>
    <x v="2"/>
    <n v="1812"/>
    <n v="4"/>
    <x v="13"/>
    <s v="SA"/>
    <x v="3"/>
    <n v="80"/>
    <s v="Fascia 5 (da 1500 € e oltre)"/>
  </r>
  <r>
    <n v="90"/>
    <d v="2014-01-07T00:00:00"/>
    <s v="Gialli"/>
    <s v="Pavia"/>
    <x v="2"/>
    <n v="76"/>
    <n v="3"/>
    <x v="7"/>
    <s v="PV"/>
    <x v="0"/>
    <n v="80"/>
    <s v="Fascia 1 (inferiore a 400 €)"/>
  </r>
  <r>
    <n v="91"/>
    <d v="2014-06-28T00:00:00"/>
    <s v="Verdi"/>
    <s v="Rieti"/>
    <x v="2"/>
    <n v="1827"/>
    <n v="3"/>
    <x v="12"/>
    <s v="RI"/>
    <x v="1"/>
    <n v="84"/>
    <s v="Fascia 5 (da 1500 € e oltre)"/>
  </r>
  <r>
    <n v="92"/>
    <d v="2014-03-17T00:00:00"/>
    <s v="Rossi"/>
    <s v="Treviso"/>
    <x v="0"/>
    <n v="491"/>
    <n v="4"/>
    <x v="6"/>
    <s v="TV"/>
    <x v="0"/>
    <n v="96"/>
    <s v="Fascia 2 (da 400 €  a meno di 800 €)"/>
  </r>
  <r>
    <n v="93"/>
    <d v="2014-01-12T00:00:00"/>
    <s v="Neri"/>
    <s v="Viterbo"/>
    <x v="2"/>
    <n v="1965"/>
    <n v="4"/>
    <x v="12"/>
    <s v="VT"/>
    <x v="1"/>
    <n v="70"/>
    <s v="Fascia 5 (da 1500 € e oltre)"/>
  </r>
  <r>
    <n v="94"/>
    <d v="2014-02-04T00:00:00"/>
    <s v="Azzurri"/>
    <s v="Vibo Valentia"/>
    <x v="2"/>
    <n v="862"/>
    <n v="5"/>
    <x v="14"/>
    <s v="VV"/>
    <x v="3"/>
    <n v="83"/>
    <s v="Fascia 3 (da 800 €  a meno di 1200 €)"/>
  </r>
  <r>
    <n v="95"/>
    <d v="2014-03-15T00:00:00"/>
    <s v="Bianchi"/>
    <s v="Verona"/>
    <x v="4"/>
    <n v="403"/>
    <n v="3"/>
    <x v="6"/>
    <s v="VR"/>
    <x v="0"/>
    <n v="87"/>
    <s v="Fascia 2 (da 400 €  a meno di 800 €)"/>
  </r>
  <r>
    <n v="96"/>
    <d v="2014-01-10T00:00:00"/>
    <s v="Rossi"/>
    <s v="Piacenza"/>
    <x v="0"/>
    <n v="217"/>
    <n v="1"/>
    <x v="0"/>
    <s v="PC"/>
    <x v="0"/>
    <n v="96"/>
    <s v="Fascia 1 (inferiore a 400 €)"/>
  </r>
  <r>
    <n v="97"/>
    <d v="2014-04-14T00:00:00"/>
    <s v="Verdi"/>
    <s v="Reggio di Calabria"/>
    <x v="3"/>
    <n v="1450"/>
    <n v="4"/>
    <x v="14"/>
    <s v="RC"/>
    <x v="3"/>
    <n v="84"/>
    <s v="Fascia 4 (da 1200 €  a meno di 1500 €)"/>
  </r>
  <r>
    <n v="98"/>
    <d v="2014-01-11T00:00:00"/>
    <s v="Neri"/>
    <s v="Pescara"/>
    <x v="1"/>
    <n v="549"/>
    <n v="3"/>
    <x v="16"/>
    <s v="PE"/>
    <x v="1"/>
    <n v="70"/>
    <s v="Fascia 2 (da 400 €  a meno di 800 €)"/>
  </r>
  <r>
    <n v="99"/>
    <d v="2014-03-26T00:00:00"/>
    <s v="Bianchi"/>
    <s v="Pisa"/>
    <x v="3"/>
    <n v="1829"/>
    <n v="5"/>
    <x v="1"/>
    <s v="PI"/>
    <x v="1"/>
    <n v="87"/>
    <s v="Fascia 5 (da 1500 € e oltre)"/>
  </r>
  <r>
    <n v="100"/>
    <d v="2014-05-19T00:00:00"/>
    <s v="Gialli"/>
    <s v="Pistoia"/>
    <x v="1"/>
    <n v="411"/>
    <n v="1"/>
    <x v="1"/>
    <s v="PT"/>
    <x v="1"/>
    <n v="80"/>
    <s v="Fascia 2 (da 400 €  a meno di 800 €)"/>
  </r>
  <r>
    <n v="101"/>
    <d v="2014-02-26T00:00:00"/>
    <s v="Azzurri"/>
    <s v="Terni"/>
    <x v="4"/>
    <n v="146"/>
    <n v="1"/>
    <x v="15"/>
    <s v="TR"/>
    <x v="1"/>
    <n v="83"/>
    <s v="Fascia 1 (inferiore a 400 €)"/>
  </r>
  <r>
    <n v="102"/>
    <d v="2014-01-02T00:00:00"/>
    <s v="Verdi"/>
    <s v="Salerno"/>
    <x v="0"/>
    <n v="1890"/>
    <n v="2"/>
    <x v="13"/>
    <s v="SA"/>
    <x v="3"/>
    <n v="84"/>
    <s v="Fascia 5 (da 1500 € e oltre)"/>
  </r>
  <r>
    <n v="103"/>
    <d v="2014-02-16T00:00:00"/>
    <s v="Rossi"/>
    <s v="Ravenna"/>
    <x v="0"/>
    <n v="826"/>
    <n v="5"/>
    <x v="0"/>
    <s v="RA"/>
    <x v="0"/>
    <n v="96"/>
    <s v="Fascia 3 (da 800 €  a meno di 1200 €)"/>
  </r>
  <r>
    <n v="104"/>
    <d v="2014-06-21T00:00:00"/>
    <s v="Neri"/>
    <s v="Pordenone"/>
    <x v="1"/>
    <n v="1693"/>
    <n v="1"/>
    <x v="4"/>
    <s v="PN"/>
    <x v="0"/>
    <n v="70"/>
    <s v="Fascia 5 (da 1500 € e oltre)"/>
  </r>
  <r>
    <n v="105"/>
    <d v="2014-02-28T00:00:00"/>
    <s v="Bianchi"/>
    <s v="Prato"/>
    <x v="0"/>
    <n v="1710"/>
    <n v="2"/>
    <x v="1"/>
    <s v="PO"/>
    <x v="1"/>
    <n v="87"/>
    <s v="Fascia 5 (da 1500 € e oltre)"/>
  </r>
  <r>
    <n v="106"/>
    <d v="2014-01-12T00:00:00"/>
    <s v="Azzurri"/>
    <s v="Pescara"/>
    <x v="4"/>
    <n v="1921"/>
    <n v="5"/>
    <x v="16"/>
    <s v="PE"/>
    <x v="1"/>
    <n v="83"/>
    <s v="Fascia 5 (da 1500 € e oltre)"/>
  </r>
  <r>
    <n v="107"/>
    <d v="2014-05-10T00:00:00"/>
    <s v="Azzurri"/>
    <s v="Ravenna"/>
    <x v="1"/>
    <n v="1427"/>
    <n v="4"/>
    <x v="0"/>
    <s v="RA"/>
    <x v="0"/>
    <n v="83"/>
    <s v="Fascia 4 (da 1200 €  a meno di 1500 €)"/>
  </r>
  <r>
    <n v="108"/>
    <d v="2014-06-22T00:00:00"/>
    <s v="Gialli"/>
    <s v="Viterbo"/>
    <x v="0"/>
    <n v="1205"/>
    <n v="5"/>
    <x v="12"/>
    <s v="VT"/>
    <x v="1"/>
    <n v="80"/>
    <s v="Fascia 4 (da 1200 €  a meno di 1500 €)"/>
  </r>
  <r>
    <n v="109"/>
    <d v="2014-01-07T00:00:00"/>
    <s v="Bianchi"/>
    <s v="Prato"/>
    <x v="4"/>
    <n v="1697"/>
    <n v="1"/>
    <x v="1"/>
    <s v="PO"/>
    <x v="1"/>
    <n v="87"/>
    <s v="Fascia 5 (da 1500 € e oltre)"/>
  </r>
  <r>
    <n v="110"/>
    <d v="2014-06-17T00:00:00"/>
    <s v="Rossi"/>
    <s v="Verona"/>
    <x v="3"/>
    <n v="1576"/>
    <n v="5"/>
    <x v="6"/>
    <s v="VR"/>
    <x v="0"/>
    <n v="96"/>
    <s v="Fascia 5 (da 1500 € e oltre)"/>
  </r>
  <r>
    <n v="111"/>
    <d v="2014-03-01T00:00:00"/>
    <s v="Gialli"/>
    <s v="Rimini"/>
    <x v="2"/>
    <n v="1520"/>
    <n v="5"/>
    <x v="0"/>
    <s v="RN"/>
    <x v="0"/>
    <n v="80"/>
    <s v="Fascia 5 (da 1500 € e oltre)"/>
  </r>
  <r>
    <n v="112"/>
    <d v="2014-02-10T00:00:00"/>
    <s v="Azzurri"/>
    <s v="Terni"/>
    <x v="2"/>
    <n v="115"/>
    <n v="1"/>
    <x v="15"/>
    <s v="TR"/>
    <x v="1"/>
    <n v="83"/>
    <s v="Fascia 1 (inferiore a 400 €)"/>
  </r>
  <r>
    <n v="113"/>
    <d v="2014-06-28T00:00:00"/>
    <s v="Neri"/>
    <s v="Trapani"/>
    <x v="3"/>
    <n v="898"/>
    <n v="2"/>
    <x v="9"/>
    <s v="TP"/>
    <x v="2"/>
    <n v="70"/>
    <s v="Fascia 3 (da 800 €  a meno di 1200 €)"/>
  </r>
  <r>
    <n v="114"/>
    <d v="2014-05-07T00:00:00"/>
    <s v="Azzurri"/>
    <s v="Terni"/>
    <x v="3"/>
    <n v="1505"/>
    <n v="2"/>
    <x v="15"/>
    <s v="TR"/>
    <x v="1"/>
    <n v="83"/>
    <s v="Fascia 5 (da 1500 € e oltre)"/>
  </r>
  <r>
    <n v="115"/>
    <d v="2014-01-11T00:00:00"/>
    <s v="Gialli"/>
    <s v="Trieste"/>
    <x v="2"/>
    <n v="977"/>
    <n v="5"/>
    <x v="4"/>
    <s v="TS"/>
    <x v="0"/>
    <n v="80"/>
    <s v="Fascia 3 (da 800 €  a meno di 1200 €)"/>
  </r>
  <r>
    <n v="116"/>
    <d v="2014-03-28T00:00:00"/>
    <s v="Bianchi"/>
    <s v="Rieti"/>
    <x v="2"/>
    <n v="724"/>
    <n v="1"/>
    <x v="12"/>
    <s v="RI"/>
    <x v="1"/>
    <n v="87"/>
    <s v="Fascia 2 (da 400 €  a meno di 800 €)"/>
  </r>
  <r>
    <n v="117"/>
    <d v="2014-04-09T00:00:00"/>
    <s v="Neri"/>
    <s v="Pistoia"/>
    <x v="1"/>
    <n v="760"/>
    <n v="5"/>
    <x v="1"/>
    <s v="PT"/>
    <x v="1"/>
    <n v="70"/>
    <s v="Fascia 2 (da 400 €  a meno di 800 €)"/>
  </r>
  <r>
    <n v="118"/>
    <d v="2014-06-03T00:00:00"/>
    <s v="Bianchi"/>
    <s v="Pavia"/>
    <x v="4"/>
    <n v="403"/>
    <n v="4"/>
    <x v="7"/>
    <s v="PV"/>
    <x v="0"/>
    <n v="87"/>
    <s v="Fascia 2 (da 400 €  a meno di 800 €)"/>
  </r>
  <r>
    <n v="119"/>
    <d v="2014-01-14T00:00:00"/>
    <s v="Neri"/>
    <s v="Salerno"/>
    <x v="2"/>
    <n v="805"/>
    <n v="1"/>
    <x v="13"/>
    <s v="SA"/>
    <x v="3"/>
    <n v="70"/>
    <s v="Fascia 3 (da 800 €  a meno di 1200 €)"/>
  </r>
  <r>
    <n v="120"/>
    <d v="2014-06-02T00:00:00"/>
    <s v="Neri"/>
    <s v="Siena"/>
    <x v="4"/>
    <n v="1908"/>
    <n v="5"/>
    <x v="1"/>
    <s v="SI"/>
    <x v="1"/>
    <n v="70"/>
    <s v="Fascia 5 (da 1500 € e oltre)"/>
  </r>
  <r>
    <n v="121"/>
    <d v="2014-03-15T00:00:00"/>
    <s v="Verdi"/>
    <s v="Salerno"/>
    <x v="0"/>
    <n v="913"/>
    <n v="3"/>
    <x v="13"/>
    <s v="SA"/>
    <x v="3"/>
    <n v="84"/>
    <s v="Fascia 3 (da 800 €  a meno di 1200 €)"/>
  </r>
  <r>
    <n v="122"/>
    <d v="2014-04-02T00:00:00"/>
    <s v="Azzurri"/>
    <s v="Vercelli"/>
    <x v="2"/>
    <n v="1977"/>
    <n v="2"/>
    <x v="2"/>
    <s v="VC"/>
    <x v="0"/>
    <n v="83"/>
    <s v="Fascia 5 (da 1500 € e oltre)"/>
  </r>
  <r>
    <n v="123"/>
    <d v="2014-04-26T00:00:00"/>
    <s v="Rossi"/>
    <s v="Rimini"/>
    <x v="1"/>
    <n v="1018"/>
    <n v="2"/>
    <x v="0"/>
    <s v="RN"/>
    <x v="0"/>
    <n v="96"/>
    <s v="Fascia 3 (da 800 €  a meno di 1200 €)"/>
  </r>
  <r>
    <n v="124"/>
    <d v="2014-02-28T00:00:00"/>
    <s v="Gialli"/>
    <s v="Venezia"/>
    <x v="2"/>
    <n v="1658"/>
    <n v="2"/>
    <x v="6"/>
    <s v="VE"/>
    <x v="0"/>
    <n v="80"/>
    <s v="Fascia 5 (da 1500 € e oltre)"/>
  </r>
  <r>
    <n v="125"/>
    <d v="2014-05-19T00:00:00"/>
    <s v="Azzurri"/>
    <s v="Prato"/>
    <x v="4"/>
    <n v="833"/>
    <n v="5"/>
    <x v="1"/>
    <s v="PO"/>
    <x v="1"/>
    <n v="83"/>
    <s v="Fascia 3 (da 800 €  a meno di 1200 €)"/>
  </r>
  <r>
    <n v="126"/>
    <d v="2014-02-08T00:00:00"/>
    <s v="Azzurri"/>
    <s v="Vicenza"/>
    <x v="0"/>
    <n v="718"/>
    <n v="5"/>
    <x v="6"/>
    <s v="VI"/>
    <x v="0"/>
    <n v="83"/>
    <s v="Fascia 2 (da 400 €  a meno di 800 €)"/>
  </r>
  <r>
    <n v="127"/>
    <d v="2014-06-04T00:00:00"/>
    <s v="Azzurri"/>
    <s v="Verbano-Cusio-Ossola"/>
    <x v="0"/>
    <n v="515"/>
    <n v="3"/>
    <x v="2"/>
    <s v="VB"/>
    <x v="0"/>
    <n v="83"/>
    <s v="Fascia 2 (da 400 €  a meno di 800 €)"/>
  </r>
  <r>
    <n v="128"/>
    <d v="2014-02-07T00:00:00"/>
    <s v="Verdi"/>
    <s v="Viterbo"/>
    <x v="4"/>
    <n v="259"/>
    <n v="3"/>
    <x v="12"/>
    <s v="VT"/>
    <x v="1"/>
    <n v="84"/>
    <s v="Fascia 1 (inferiore a 400 €)"/>
  </r>
  <r>
    <n v="129"/>
    <d v="2014-05-16T00:00:00"/>
    <s v="Azzurri"/>
    <s v="Prato"/>
    <x v="2"/>
    <n v="660"/>
    <n v="4"/>
    <x v="1"/>
    <s v="PO"/>
    <x v="1"/>
    <n v="83"/>
    <s v="Fascia 2 (da 400 €  a meno di 800 €)"/>
  </r>
  <r>
    <n v="130"/>
    <d v="2014-06-10T00:00:00"/>
    <s v="Rossi"/>
    <s v="Udine"/>
    <x v="3"/>
    <n v="31"/>
    <n v="2"/>
    <x v="4"/>
    <s v="UD"/>
    <x v="0"/>
    <n v="96"/>
    <s v="Fascia 1 (inferiore a 400 €)"/>
  </r>
  <r>
    <n v="131"/>
    <d v="2014-02-25T00:00:00"/>
    <s v="Bianchi"/>
    <s v="Venezia"/>
    <x v="4"/>
    <n v="1889"/>
    <n v="4"/>
    <x v="6"/>
    <s v="VE"/>
    <x v="0"/>
    <n v="87"/>
    <s v="Fascia 5 (da 1500 € e oltre)"/>
  </r>
  <r>
    <n v="132"/>
    <d v="2014-05-24T00:00:00"/>
    <s v="Azzurri"/>
    <s v="Roma"/>
    <x v="3"/>
    <n v="1163"/>
    <n v="1"/>
    <x v="12"/>
    <s v="RM"/>
    <x v="1"/>
    <n v="83"/>
    <s v="Fascia 3 (da 800 €  a meno di 1200 €)"/>
  </r>
  <r>
    <n v="133"/>
    <d v="2014-06-08T00:00:00"/>
    <s v="Gialli"/>
    <s v="Rimini"/>
    <x v="0"/>
    <n v="1896"/>
    <n v="1"/>
    <x v="0"/>
    <s v="RN"/>
    <x v="0"/>
    <n v="80"/>
    <s v="Fascia 5 (da 1500 € e oltre)"/>
  </r>
  <r>
    <n v="134"/>
    <d v="2014-06-17T00:00:00"/>
    <s v="Bianchi"/>
    <s v="Viterbo"/>
    <x v="2"/>
    <n v="175"/>
    <n v="1"/>
    <x v="12"/>
    <s v="VT"/>
    <x v="1"/>
    <n v="87"/>
    <s v="Fascia 1 (inferiore a 400 €)"/>
  </r>
  <r>
    <n v="135"/>
    <d v="2014-02-24T00:00:00"/>
    <s v="Azzurri"/>
    <s v="Udine"/>
    <x v="1"/>
    <n v="806"/>
    <n v="5"/>
    <x v="4"/>
    <s v="UD"/>
    <x v="0"/>
    <n v="83"/>
    <s v="Fascia 3 (da 800 €  a meno di 1200 €)"/>
  </r>
  <r>
    <n v="136"/>
    <d v="2014-06-29T00:00:00"/>
    <s v="Rossi"/>
    <s v="Perugia"/>
    <x v="2"/>
    <n v="992"/>
    <n v="3"/>
    <x v="15"/>
    <s v="PG"/>
    <x v="1"/>
    <n v="96"/>
    <s v="Fascia 3 (da 800 €  a meno di 1200 €)"/>
  </r>
  <r>
    <n v="137"/>
    <d v="2014-01-08T00:00:00"/>
    <s v="Verdi"/>
    <s v="Verona"/>
    <x v="3"/>
    <n v="885"/>
    <n v="2"/>
    <x v="6"/>
    <s v="VR"/>
    <x v="0"/>
    <n v="84"/>
    <s v="Fascia 3 (da 800 €  a meno di 1200 €)"/>
  </r>
  <r>
    <n v="138"/>
    <d v="2014-02-11T00:00:00"/>
    <s v="Bianchi"/>
    <s v="Taranto"/>
    <x v="1"/>
    <n v="502"/>
    <n v="2"/>
    <x v="17"/>
    <s v="TA"/>
    <x v="3"/>
    <n v="87"/>
    <s v="Fascia 2 (da 400 €  a meno di 800 €)"/>
  </r>
  <r>
    <n v="139"/>
    <d v="2014-06-06T00:00:00"/>
    <s v="Neri"/>
    <s v="Salerno"/>
    <x v="4"/>
    <n v="71"/>
    <n v="3"/>
    <x v="13"/>
    <s v="SA"/>
    <x v="3"/>
    <n v="70"/>
    <s v="Fascia 1 (inferiore a 400 €)"/>
  </r>
  <r>
    <n v="140"/>
    <d v="2014-01-10T00:00:00"/>
    <s v="Verdi"/>
    <s v="Sondrio"/>
    <x v="0"/>
    <n v="411"/>
    <n v="4"/>
    <x v="7"/>
    <s v="SO"/>
    <x v="0"/>
    <n v="84"/>
    <s v="Fascia 2 (da 400 €  a meno di 800 €)"/>
  </r>
  <r>
    <n v="141"/>
    <d v="2014-05-31T00:00:00"/>
    <s v="Bianchi"/>
    <s v="Sassari"/>
    <x v="0"/>
    <n v="1343"/>
    <n v="2"/>
    <x v="3"/>
    <s v="SS"/>
    <x v="2"/>
    <n v="87"/>
    <s v="Fascia 4 (da 1200 €  a meno di 1500 €)"/>
  </r>
  <r>
    <n v="142"/>
    <d v="2014-05-26T00:00:00"/>
    <s v="Bianchi"/>
    <s v="Teramo"/>
    <x v="0"/>
    <n v="1052"/>
    <n v="4"/>
    <x v="16"/>
    <s v="TE"/>
    <x v="1"/>
    <n v="87"/>
    <s v="Fascia 3 (da 800 €  a meno di 1200 €)"/>
  </r>
  <r>
    <n v="143"/>
    <d v="2014-03-04T00:00:00"/>
    <s v="Neri"/>
    <s v="Vicenza"/>
    <x v="1"/>
    <n v="993"/>
    <n v="4"/>
    <x v="6"/>
    <s v="VI"/>
    <x v="0"/>
    <n v="70"/>
    <s v="Fascia 3 (da 800 €  a meno di 1200 €)"/>
  </r>
  <r>
    <n v="144"/>
    <d v="2014-06-26T00:00:00"/>
    <s v="Azzurri"/>
    <s v="Verona"/>
    <x v="3"/>
    <n v="1404"/>
    <n v="3"/>
    <x v="6"/>
    <s v="VR"/>
    <x v="0"/>
    <n v="83"/>
    <s v="Fascia 4 (da 1200 €  a meno di 1500 €)"/>
  </r>
  <r>
    <n v="145"/>
    <d v="2014-06-28T00:00:00"/>
    <s v="Verdi"/>
    <s v="Roma"/>
    <x v="1"/>
    <n v="436"/>
    <n v="1"/>
    <x v="12"/>
    <s v="RM"/>
    <x v="1"/>
    <n v="84"/>
    <s v="Fascia 2 (da 400 €  a meno di 800 €)"/>
  </r>
  <r>
    <n v="146"/>
    <d v="2014-03-03T00:00:00"/>
    <s v="Verdi"/>
    <s v="Trieste"/>
    <x v="3"/>
    <n v="771"/>
    <n v="2"/>
    <x v="4"/>
    <s v="TS"/>
    <x v="0"/>
    <n v="84"/>
    <s v="Fascia 2 (da 400 €  a meno di 800 €)"/>
  </r>
  <r>
    <n v="147"/>
    <d v="2014-05-03T00:00:00"/>
    <s v="Gialli"/>
    <s v="Pordenone"/>
    <x v="0"/>
    <n v="503"/>
    <n v="5"/>
    <x v="4"/>
    <s v="PN"/>
    <x v="0"/>
    <n v="80"/>
    <s v="Fascia 2 (da 400 €  a meno di 800 €)"/>
  </r>
  <r>
    <n v="148"/>
    <d v="2014-03-27T00:00:00"/>
    <s v="Bianchi"/>
    <s v="Reggio nell'Emilia"/>
    <x v="1"/>
    <n v="1906"/>
    <n v="1"/>
    <x v="0"/>
    <s v="RE"/>
    <x v="0"/>
    <n v="87"/>
    <s v="Fascia 5 (da 1500 € e oltre)"/>
  </r>
  <r>
    <n v="149"/>
    <d v="2014-04-10T00:00:00"/>
    <s v="Verdi"/>
    <s v="Trapani"/>
    <x v="1"/>
    <n v="1213"/>
    <n v="3"/>
    <x v="9"/>
    <s v="TP"/>
    <x v="2"/>
    <n v="84"/>
    <s v="Fascia 4 (da 1200 €  a meno di 1500 €)"/>
  </r>
  <r>
    <n v="150"/>
    <d v="2014-02-11T00:00:00"/>
    <s v="Azzurri"/>
    <s v="Siena"/>
    <x v="0"/>
    <n v="1215"/>
    <n v="2"/>
    <x v="1"/>
    <s v="SI"/>
    <x v="1"/>
    <n v="83"/>
    <s v="Fascia 4 (da 1200 €  a meno di 1500 €)"/>
  </r>
  <r>
    <n v="151"/>
    <d v="2014-06-29T00:00:00"/>
    <s v="Bianchi"/>
    <s v="Verona"/>
    <x v="2"/>
    <n v="1186"/>
    <n v="1"/>
    <x v="6"/>
    <s v="VR"/>
    <x v="0"/>
    <n v="87"/>
    <s v="Fascia 3 (da 800 €  a meno di 1200 €)"/>
  </r>
  <r>
    <n v="152"/>
    <d v="2014-03-28T00:00:00"/>
    <s v="Neri"/>
    <s v="Ragusa"/>
    <x v="1"/>
    <n v="1616"/>
    <n v="2"/>
    <x v="9"/>
    <s v="RG"/>
    <x v="2"/>
    <n v="70"/>
    <s v="Fascia 5 (da 1500 € e oltre)"/>
  </r>
  <r>
    <n v="153"/>
    <d v="2014-04-05T00:00:00"/>
    <s v="Bianchi"/>
    <s v="Sondrio"/>
    <x v="3"/>
    <n v="1614"/>
    <n v="3"/>
    <x v="7"/>
    <s v="SO"/>
    <x v="0"/>
    <n v="87"/>
    <s v="Fascia 5 (da 1500 € e oltre)"/>
  </r>
  <r>
    <n v="154"/>
    <d v="2014-01-13T00:00:00"/>
    <s v="Gialli"/>
    <s v="Savona"/>
    <x v="1"/>
    <n v="744"/>
    <n v="5"/>
    <x v="8"/>
    <s v="SV"/>
    <x v="0"/>
    <n v="80"/>
    <s v="Fascia 2 (da 400 €  a meno di 800 €)"/>
  </r>
  <r>
    <n v="155"/>
    <d v="2014-05-03T00:00:00"/>
    <s v="Bianchi"/>
    <s v="Varese"/>
    <x v="2"/>
    <n v="1277"/>
    <n v="1"/>
    <x v="7"/>
    <s v="VA"/>
    <x v="0"/>
    <n v="87"/>
    <s v="Fascia 4 (da 1200 €  a meno di 1500 €)"/>
  </r>
  <r>
    <n v="156"/>
    <d v="2014-05-22T00:00:00"/>
    <s v="Gialli"/>
    <s v="Ragusa"/>
    <x v="3"/>
    <n v="1520"/>
    <n v="3"/>
    <x v="9"/>
    <s v="RG"/>
    <x v="2"/>
    <n v="80"/>
    <s v="Fascia 5 (da 1500 € e oltre)"/>
  </r>
  <r>
    <n v="157"/>
    <d v="2014-01-17T00:00:00"/>
    <s v="Bianchi"/>
    <s v="Treviso"/>
    <x v="3"/>
    <n v="254"/>
    <n v="2"/>
    <x v="6"/>
    <s v="TV"/>
    <x v="0"/>
    <n v="87"/>
    <s v="Fascia 1 (inferiore a 400 €)"/>
  </r>
  <r>
    <n v="158"/>
    <d v="2014-05-13T00:00:00"/>
    <s v="Neri"/>
    <s v="Salerno"/>
    <x v="4"/>
    <n v="253"/>
    <n v="3"/>
    <x v="13"/>
    <s v="SA"/>
    <x v="3"/>
    <n v="70"/>
    <s v="Fascia 1 (inferiore a 400 €)"/>
  </r>
  <r>
    <n v="159"/>
    <d v="2014-06-10T00:00:00"/>
    <s v="Rossi"/>
    <s v="Pistoia"/>
    <x v="4"/>
    <n v="1802"/>
    <n v="3"/>
    <x v="1"/>
    <s v="PT"/>
    <x v="1"/>
    <n v="96"/>
    <s v="Fascia 5 (da 1500 € e oltre)"/>
  </r>
  <r>
    <n v="160"/>
    <d v="2014-01-11T00:00:00"/>
    <s v="Verdi"/>
    <s v="Vercelli"/>
    <x v="0"/>
    <n v="580"/>
    <n v="5"/>
    <x v="2"/>
    <s v="VC"/>
    <x v="0"/>
    <n v="84"/>
    <s v="Fascia 2 (da 400 €  a meno di 800 €)"/>
  </r>
  <r>
    <n v="161"/>
    <d v="2014-05-19T00:00:00"/>
    <s v="Neri"/>
    <s v="Pordenone"/>
    <x v="3"/>
    <n v="938"/>
    <n v="5"/>
    <x v="4"/>
    <s v="PN"/>
    <x v="0"/>
    <n v="70"/>
    <s v="Fascia 3 (da 800 €  a meno di 1200 €)"/>
  </r>
  <r>
    <n v="162"/>
    <d v="2014-02-12T00:00:00"/>
    <s v="Gialli"/>
    <s v="Piacenza"/>
    <x v="1"/>
    <n v="1390"/>
    <n v="4"/>
    <x v="0"/>
    <s v="PC"/>
    <x v="0"/>
    <n v="80"/>
    <s v="Fascia 4 (da 1200 €  a meno di 1500 €)"/>
  </r>
  <r>
    <n v="163"/>
    <d v="2014-04-24T00:00:00"/>
    <s v="Azzurri"/>
    <s v="Reggio di Calabria"/>
    <x v="1"/>
    <n v="1315"/>
    <n v="2"/>
    <x v="14"/>
    <s v="RC"/>
    <x v="3"/>
    <n v="83"/>
    <s v="Fascia 4 (da 1200 €  a meno di 1500 €)"/>
  </r>
  <r>
    <n v="164"/>
    <d v="2014-06-29T00:00:00"/>
    <s v="Gialli"/>
    <s v="Savona"/>
    <x v="0"/>
    <n v="1670"/>
    <n v="3"/>
    <x v="8"/>
    <s v="SV"/>
    <x v="0"/>
    <n v="80"/>
    <s v="Fascia 5 (da 1500 € e oltre)"/>
  </r>
  <r>
    <n v="165"/>
    <d v="2014-06-14T00:00:00"/>
    <s v="Gialli"/>
    <s v="Varese"/>
    <x v="3"/>
    <n v="1691"/>
    <n v="3"/>
    <x v="7"/>
    <s v="VA"/>
    <x v="0"/>
    <n v="80"/>
    <s v="Fascia 5 (da 1500 € e oltre)"/>
  </r>
  <r>
    <n v="166"/>
    <d v="2014-03-03T00:00:00"/>
    <s v="Neri"/>
    <s v="Rimini"/>
    <x v="1"/>
    <n v="1313"/>
    <n v="3"/>
    <x v="0"/>
    <s v="RN"/>
    <x v="0"/>
    <n v="70"/>
    <s v="Fascia 4 (da 1200 €  a meno di 1500 €)"/>
  </r>
  <r>
    <n v="167"/>
    <d v="2014-06-09T00:00:00"/>
    <s v="Rossi"/>
    <s v="Pordenone"/>
    <x v="1"/>
    <n v="789"/>
    <n v="4"/>
    <x v="4"/>
    <s v="PN"/>
    <x v="0"/>
    <n v="96"/>
    <s v="Fascia 2 (da 400 €  a meno di 800 €)"/>
  </r>
  <r>
    <n v="168"/>
    <d v="2014-03-02T00:00:00"/>
    <s v="Gialli"/>
    <s v="Teramo"/>
    <x v="0"/>
    <n v="135"/>
    <n v="5"/>
    <x v="16"/>
    <s v="TE"/>
    <x v="1"/>
    <n v="80"/>
    <s v="Fascia 1 (inferiore a 400 €)"/>
  </r>
  <r>
    <n v="169"/>
    <d v="2014-02-06T00:00:00"/>
    <s v="Bianchi"/>
    <s v="Siracusa"/>
    <x v="2"/>
    <n v="1583"/>
    <n v="5"/>
    <x v="9"/>
    <s v="SR"/>
    <x v="2"/>
    <n v="87"/>
    <s v="Fascia 5 (da 1500 € e oltre)"/>
  </r>
  <r>
    <n v="170"/>
    <d v="2014-03-08T00:00:00"/>
    <s v="Verdi"/>
    <s v="Varese"/>
    <x v="2"/>
    <n v="1857"/>
    <n v="1"/>
    <x v="7"/>
    <s v="VA"/>
    <x v="0"/>
    <n v="84"/>
    <s v="Fascia 5 (da 1500 € e oltre)"/>
  </r>
  <r>
    <n v="171"/>
    <d v="2014-03-03T00:00:00"/>
    <s v="Neri"/>
    <s v="Trieste"/>
    <x v="1"/>
    <n v="1655"/>
    <n v="3"/>
    <x v="4"/>
    <s v="TS"/>
    <x v="0"/>
    <n v="70"/>
    <s v="Fascia 5 (da 1500 € e oltre)"/>
  </r>
  <r>
    <n v="172"/>
    <d v="2014-05-18T00:00:00"/>
    <s v="Gialli"/>
    <s v="Verona"/>
    <x v="3"/>
    <n v="727"/>
    <n v="3"/>
    <x v="6"/>
    <s v="VR"/>
    <x v="0"/>
    <n v="80"/>
    <s v="Fascia 2 (da 400 €  a meno di 800 €)"/>
  </r>
  <r>
    <n v="173"/>
    <d v="2014-02-27T00:00:00"/>
    <s v="Gialli"/>
    <s v="Pesaro e Urbino"/>
    <x v="3"/>
    <n v="1637"/>
    <n v="3"/>
    <x v="10"/>
    <s v="PS"/>
    <x v="1"/>
    <n v="80"/>
    <s v="Fascia 5 (da 1500 € e oltre)"/>
  </r>
  <r>
    <n v="174"/>
    <d v="2014-06-06T00:00:00"/>
    <s v="Verdi"/>
    <s v="Piacenza"/>
    <x v="1"/>
    <n v="456"/>
    <n v="5"/>
    <x v="0"/>
    <s v="PC"/>
    <x v="0"/>
    <n v="84"/>
    <s v="Fascia 2 (da 400 €  a meno di 800 €)"/>
  </r>
  <r>
    <n v="175"/>
    <d v="2014-03-10T00:00:00"/>
    <s v="Verdi"/>
    <s v="Treviso"/>
    <x v="3"/>
    <n v="1109"/>
    <n v="5"/>
    <x v="6"/>
    <s v="TV"/>
    <x v="0"/>
    <n v="84"/>
    <s v="Fascia 3 (da 800 €  a meno di 1200 €)"/>
  </r>
  <r>
    <n v="176"/>
    <d v="2014-06-28T00:00:00"/>
    <s v="Rossi"/>
    <s v="Prato"/>
    <x v="3"/>
    <n v="1593"/>
    <n v="4"/>
    <x v="1"/>
    <s v="PO"/>
    <x v="1"/>
    <n v="96"/>
    <s v="Fascia 5 (da 1500 € e oltre)"/>
  </r>
  <r>
    <n v="177"/>
    <d v="2014-05-27T00:00:00"/>
    <s v="Gialli"/>
    <s v="Rovigo"/>
    <x v="3"/>
    <n v="686"/>
    <n v="1"/>
    <x v="6"/>
    <s v="RO"/>
    <x v="0"/>
    <n v="80"/>
    <s v="Fascia 2 (da 400 €  a meno di 800 €)"/>
  </r>
  <r>
    <n v="178"/>
    <d v="2014-04-24T00:00:00"/>
    <s v="Azzurri"/>
    <s v="Siena"/>
    <x v="0"/>
    <n v="155"/>
    <n v="4"/>
    <x v="1"/>
    <s v="SI"/>
    <x v="1"/>
    <n v="83"/>
    <s v="Fascia 1 (inferiore a 400 €)"/>
  </r>
  <r>
    <n v="179"/>
    <d v="2014-02-15T00:00:00"/>
    <s v="Bianchi"/>
    <s v="Siracusa"/>
    <x v="2"/>
    <n v="686"/>
    <n v="2"/>
    <x v="9"/>
    <s v="SR"/>
    <x v="2"/>
    <n v="87"/>
    <s v="Fascia 2 (da 400 €  a meno di 800 €)"/>
  </r>
  <r>
    <n v="180"/>
    <d v="2014-04-14T00:00:00"/>
    <s v="Bianchi"/>
    <s v="Potenza"/>
    <x v="2"/>
    <n v="450"/>
    <n v="1"/>
    <x v="5"/>
    <s v="PZ"/>
    <x v="3"/>
    <n v="87"/>
    <s v="Fascia 2 (da 400 €  a meno di 800 €)"/>
  </r>
  <r>
    <n v="181"/>
    <d v="2014-06-15T00:00:00"/>
    <s v="Neri"/>
    <s v="Torino"/>
    <x v="3"/>
    <n v="478"/>
    <n v="4"/>
    <x v="2"/>
    <s v="TO"/>
    <x v="0"/>
    <n v="70"/>
    <s v="Fascia 2 (da 400 €  a meno di 800 €)"/>
  </r>
  <r>
    <n v="182"/>
    <d v="2014-03-06T00:00:00"/>
    <s v="Azzurri"/>
    <s v="Sassari"/>
    <x v="3"/>
    <n v="939"/>
    <n v="5"/>
    <x v="3"/>
    <s v="SS"/>
    <x v="2"/>
    <n v="83"/>
    <s v="Fascia 3 (da 800 €  a meno di 1200 €)"/>
  </r>
  <r>
    <n v="183"/>
    <d v="2014-02-16T00:00:00"/>
    <s v="Gialli"/>
    <s v="Reggio di Calabria"/>
    <x v="2"/>
    <n v="1608"/>
    <n v="2"/>
    <x v="14"/>
    <s v="RC"/>
    <x v="3"/>
    <n v="80"/>
    <s v="Fascia 5 (da 1500 € e oltre)"/>
  </r>
  <r>
    <n v="184"/>
    <d v="2014-01-10T00:00:00"/>
    <s v="Azzurri"/>
    <s v="Varese"/>
    <x v="0"/>
    <n v="1791"/>
    <n v="2"/>
    <x v="7"/>
    <s v="VA"/>
    <x v="0"/>
    <n v="83"/>
    <s v="Fascia 5 (da 1500 € e oltre)"/>
  </r>
  <r>
    <n v="185"/>
    <d v="2014-05-17T00:00:00"/>
    <s v="Verdi"/>
    <s v="Vercelli"/>
    <x v="3"/>
    <n v="371"/>
    <n v="2"/>
    <x v="2"/>
    <s v="VC"/>
    <x v="0"/>
    <n v="84"/>
    <s v="Fascia 1 (inferiore a 400 €)"/>
  </r>
  <r>
    <n v="186"/>
    <d v="2014-01-28T00:00:00"/>
    <s v="Rossi"/>
    <s v="Reggio di Calabria"/>
    <x v="3"/>
    <n v="1407"/>
    <n v="1"/>
    <x v="14"/>
    <s v="RC"/>
    <x v="3"/>
    <n v="96"/>
    <s v="Fascia 4 (da 1200 €  a meno di 1500 €)"/>
  </r>
  <r>
    <n v="187"/>
    <d v="2014-05-22T00:00:00"/>
    <s v="Gialli"/>
    <s v="Vercelli"/>
    <x v="0"/>
    <n v="1909"/>
    <n v="4"/>
    <x v="2"/>
    <s v="VC"/>
    <x v="0"/>
    <n v="80"/>
    <s v="Fascia 5 (da 1500 € e oltre)"/>
  </r>
  <r>
    <n v="188"/>
    <d v="2014-05-16T00:00:00"/>
    <s v="Verdi"/>
    <s v="Perugia"/>
    <x v="4"/>
    <n v="1715"/>
    <n v="2"/>
    <x v="15"/>
    <s v="PG"/>
    <x v="1"/>
    <n v="84"/>
    <s v="Fascia 5 (da 1500 € e oltre)"/>
  </r>
  <r>
    <n v="189"/>
    <d v="2014-02-13T00:00:00"/>
    <s v="Gialli"/>
    <s v="Vibo Valentia"/>
    <x v="3"/>
    <n v="1145"/>
    <n v="2"/>
    <x v="14"/>
    <s v="VV"/>
    <x v="3"/>
    <n v="80"/>
    <s v="Fascia 3 (da 800 €  a meno di 1200 €)"/>
  </r>
  <r>
    <n v="190"/>
    <d v="2014-04-29T00:00:00"/>
    <s v="Gialli"/>
    <s v="Potenza"/>
    <x v="3"/>
    <n v="925"/>
    <n v="3"/>
    <x v="5"/>
    <s v="PZ"/>
    <x v="3"/>
    <n v="80"/>
    <s v="Fascia 3 (da 800 €  a meno di 1200 €)"/>
  </r>
  <r>
    <n v="191"/>
    <d v="2014-06-27T00:00:00"/>
    <s v="Rossi"/>
    <s v="Verbano-Cusio-Ossola"/>
    <x v="0"/>
    <n v="547"/>
    <n v="5"/>
    <x v="2"/>
    <s v="VB"/>
    <x v="0"/>
    <n v="96"/>
    <s v="Fascia 2 (da 400 €  a meno di 800 €)"/>
  </r>
  <r>
    <n v="192"/>
    <d v="2014-01-26T00:00:00"/>
    <s v="Bianchi"/>
    <s v="Terni"/>
    <x v="4"/>
    <n v="1961"/>
    <n v="5"/>
    <x v="15"/>
    <s v="TR"/>
    <x v="1"/>
    <n v="87"/>
    <s v="Fascia 5 (da 1500 € e oltre)"/>
  </r>
  <r>
    <n v="193"/>
    <d v="2014-04-05T00:00:00"/>
    <s v="Gialli"/>
    <s v="Trieste"/>
    <x v="2"/>
    <n v="184"/>
    <n v="5"/>
    <x v="4"/>
    <s v="TS"/>
    <x v="0"/>
    <n v="80"/>
    <s v="Fascia 1 (inferiore a 400 €)"/>
  </r>
  <r>
    <n v="194"/>
    <d v="2014-03-26T00:00:00"/>
    <s v="Gialli"/>
    <s v="Ragusa"/>
    <x v="0"/>
    <n v="163"/>
    <n v="1"/>
    <x v="9"/>
    <s v="RG"/>
    <x v="2"/>
    <n v="80"/>
    <s v="Fascia 1 (inferiore a 400 €)"/>
  </r>
  <r>
    <n v="195"/>
    <d v="2014-04-15T00:00:00"/>
    <s v="Rossi"/>
    <s v="Rieti"/>
    <x v="2"/>
    <n v="484"/>
    <n v="4"/>
    <x v="12"/>
    <s v="RI"/>
    <x v="1"/>
    <n v="96"/>
    <s v="Fascia 2 (da 400 €  a meno di 800 €)"/>
  </r>
  <r>
    <n v="196"/>
    <d v="2014-06-25T00:00:00"/>
    <s v="Rossi"/>
    <s v="Pescara"/>
    <x v="3"/>
    <n v="792"/>
    <n v="2"/>
    <x v="16"/>
    <s v="PE"/>
    <x v="1"/>
    <n v="96"/>
    <s v="Fascia 2 (da 400 €  a meno di 800 €)"/>
  </r>
  <r>
    <n v="197"/>
    <d v="2014-02-13T00:00:00"/>
    <s v="Neri"/>
    <s v="Savona"/>
    <x v="2"/>
    <n v="24"/>
    <n v="5"/>
    <x v="8"/>
    <s v="SV"/>
    <x v="0"/>
    <n v="70"/>
    <s v="Fascia 1 (inferiore a 400 €)"/>
  </r>
  <r>
    <n v="198"/>
    <d v="2014-02-17T00:00:00"/>
    <s v="Gialli"/>
    <s v="Verbano-Cusio-Ossola"/>
    <x v="2"/>
    <n v="705"/>
    <n v="3"/>
    <x v="2"/>
    <s v="VB"/>
    <x v="0"/>
    <n v="80"/>
    <s v="Fascia 2 (da 400 €  a meno di 800 €)"/>
  </r>
  <r>
    <n v="199"/>
    <d v="2014-02-23T00:00:00"/>
    <s v="Verdi"/>
    <s v="Sondrio"/>
    <x v="0"/>
    <n v="1288"/>
    <n v="1"/>
    <x v="7"/>
    <s v="SO"/>
    <x v="0"/>
    <n v="84"/>
    <s v="Fascia 4 (da 1200 €  a meno di 1500 €)"/>
  </r>
  <r>
    <n v="200"/>
    <d v="2014-02-02T00:00:00"/>
    <s v="Bianchi"/>
    <s v="Reggio nell'Emilia"/>
    <x v="4"/>
    <n v="956"/>
    <n v="2"/>
    <x v="0"/>
    <s v="RE"/>
    <x v="0"/>
    <n v="87"/>
    <s v="Fascia 3 (da 800 €  a meno di 1200 €)"/>
  </r>
  <r>
    <n v="201"/>
    <d v="2014-06-29T00:00:00"/>
    <s v="Azzurri"/>
    <s v="Venezia"/>
    <x v="2"/>
    <n v="1770"/>
    <n v="4"/>
    <x v="6"/>
    <s v="VE"/>
    <x v="0"/>
    <n v="83"/>
    <s v="Fascia 5 (da 1500 € e oltre)"/>
  </r>
  <r>
    <n v="202"/>
    <d v="2014-02-11T00:00:00"/>
    <s v="Rossi"/>
    <s v="Savona"/>
    <x v="3"/>
    <n v="1449"/>
    <n v="4"/>
    <x v="8"/>
    <s v="SV"/>
    <x v="0"/>
    <n v="96"/>
    <s v="Fascia 4 (da 1200 €  a meno di 1500 €)"/>
  </r>
  <r>
    <n v="203"/>
    <d v="2014-01-06T00:00:00"/>
    <s v="Neri"/>
    <s v="Verona"/>
    <x v="4"/>
    <n v="1300"/>
    <n v="1"/>
    <x v="6"/>
    <s v="VR"/>
    <x v="0"/>
    <n v="70"/>
    <s v="Fascia 4 (da 1200 €  a meno di 1500 €)"/>
  </r>
  <r>
    <n v="204"/>
    <d v="2014-04-13T00:00:00"/>
    <s v="Neri"/>
    <s v="Pisa"/>
    <x v="2"/>
    <n v="1909"/>
    <n v="1"/>
    <x v="1"/>
    <s v="PI"/>
    <x v="1"/>
    <n v="70"/>
    <s v="Fascia 5 (da 1500 € e oltre)"/>
  </r>
  <r>
    <n v="205"/>
    <d v="2014-03-02T00:00:00"/>
    <s v="Rossi"/>
    <s v="Savona"/>
    <x v="2"/>
    <n v="1006"/>
    <n v="3"/>
    <x v="8"/>
    <s v="SV"/>
    <x v="0"/>
    <n v="96"/>
    <s v="Fascia 3 (da 800 €  a meno di 1200 €)"/>
  </r>
  <r>
    <n v="206"/>
    <d v="2014-02-04T00:00:00"/>
    <s v="Bianchi"/>
    <s v="Trento"/>
    <x v="3"/>
    <n v="715"/>
    <n v="3"/>
    <x v="11"/>
    <s v="TN"/>
    <x v="0"/>
    <n v="87"/>
    <s v="Fascia 2 (da 400 €  a meno di 800 €)"/>
  </r>
  <r>
    <n v="207"/>
    <d v="2014-03-23T00:00:00"/>
    <s v="Azzurri"/>
    <s v="Trapani"/>
    <x v="3"/>
    <n v="296"/>
    <n v="2"/>
    <x v="9"/>
    <s v="TP"/>
    <x v="2"/>
    <n v="83"/>
    <s v="Fascia 1 (inferiore a 400 €)"/>
  </r>
  <r>
    <n v="208"/>
    <d v="2014-06-12T00:00:00"/>
    <s v="Neri"/>
    <s v="Rimini"/>
    <x v="4"/>
    <n v="1079"/>
    <n v="2"/>
    <x v="0"/>
    <s v="RN"/>
    <x v="0"/>
    <n v="70"/>
    <s v="Fascia 3 (da 800 €  a meno di 1200 €)"/>
  </r>
  <r>
    <n v="209"/>
    <d v="2014-01-23T00:00:00"/>
    <s v="Azzurri"/>
    <s v="Rieti"/>
    <x v="4"/>
    <n v="222"/>
    <n v="5"/>
    <x v="12"/>
    <s v="RI"/>
    <x v="1"/>
    <n v="83"/>
    <s v="Fascia 1 (inferiore a 400 €)"/>
  </r>
  <r>
    <n v="210"/>
    <d v="2014-01-12T00:00:00"/>
    <s v="Neri"/>
    <s v="Treviso"/>
    <x v="4"/>
    <n v="1433"/>
    <n v="5"/>
    <x v="6"/>
    <s v="TV"/>
    <x v="0"/>
    <n v="70"/>
    <s v="Fascia 4 (da 1200 €  a meno di 1500 €)"/>
  </r>
  <r>
    <n v="211"/>
    <d v="2014-06-05T00:00:00"/>
    <s v="Rossi"/>
    <s v="Vicenza"/>
    <x v="0"/>
    <n v="1052"/>
    <n v="3"/>
    <x v="6"/>
    <s v="VI"/>
    <x v="0"/>
    <n v="96"/>
    <s v="Fascia 3 (da 800 €  a meno di 1200 €)"/>
  </r>
  <r>
    <n v="212"/>
    <d v="2014-01-05T00:00:00"/>
    <s v="Neri"/>
    <s v="Pisa"/>
    <x v="3"/>
    <n v="1917"/>
    <n v="3"/>
    <x v="1"/>
    <s v="PI"/>
    <x v="1"/>
    <n v="70"/>
    <s v="Fascia 5 (da 1500 € e oltre)"/>
  </r>
  <r>
    <n v="213"/>
    <d v="2014-03-07T00:00:00"/>
    <s v="Verdi"/>
    <s v="Terni"/>
    <x v="1"/>
    <n v="1973"/>
    <n v="1"/>
    <x v="15"/>
    <s v="TR"/>
    <x v="1"/>
    <n v="84"/>
    <s v="Fascia 5 (da 1500 € e oltre)"/>
  </r>
  <r>
    <n v="214"/>
    <d v="2014-04-25T00:00:00"/>
    <s v="Verdi"/>
    <s v="Teramo"/>
    <x v="0"/>
    <n v="10"/>
    <n v="1"/>
    <x v="16"/>
    <s v="TE"/>
    <x v="1"/>
    <n v="84"/>
    <s v="Fascia 1 (inferiore a 400 €)"/>
  </r>
  <r>
    <n v="215"/>
    <d v="2014-04-21T00:00:00"/>
    <s v="Verdi"/>
    <s v="Trieste"/>
    <x v="2"/>
    <n v="328"/>
    <n v="1"/>
    <x v="4"/>
    <s v="TS"/>
    <x v="0"/>
    <n v="84"/>
    <s v="Fascia 1 (inferiore a 400 €)"/>
  </r>
  <r>
    <n v="216"/>
    <d v="2014-04-21T00:00:00"/>
    <s v="Gialli"/>
    <s v="Savona"/>
    <x v="0"/>
    <n v="1425"/>
    <n v="4"/>
    <x v="8"/>
    <s v="SV"/>
    <x v="0"/>
    <n v="80"/>
    <s v="Fascia 4 (da 1200 €  a meno di 1500 €)"/>
  </r>
  <r>
    <n v="217"/>
    <d v="2014-02-10T00:00:00"/>
    <s v="Bianchi"/>
    <s v="Perugia"/>
    <x v="1"/>
    <n v="833"/>
    <n v="2"/>
    <x v="15"/>
    <s v="PG"/>
    <x v="1"/>
    <n v="87"/>
    <s v="Fascia 3 (da 800 €  a meno di 1200 €)"/>
  </r>
  <r>
    <n v="218"/>
    <d v="2014-01-10T00:00:00"/>
    <s v="Verdi"/>
    <s v="Salerno"/>
    <x v="0"/>
    <n v="1656"/>
    <n v="5"/>
    <x v="13"/>
    <s v="SA"/>
    <x v="3"/>
    <n v="84"/>
    <s v="Fascia 5 (da 1500 € e oltre)"/>
  </r>
  <r>
    <n v="219"/>
    <d v="2014-05-26T00:00:00"/>
    <s v="Azzurri"/>
    <s v="Terni"/>
    <x v="4"/>
    <n v="1792"/>
    <n v="4"/>
    <x v="15"/>
    <s v="TR"/>
    <x v="1"/>
    <n v="83"/>
    <s v="Fascia 5 (da 1500 € e oltre)"/>
  </r>
  <r>
    <n v="220"/>
    <d v="2014-05-18T00:00:00"/>
    <s v="Rossi"/>
    <s v="Reggio di Calabria"/>
    <x v="4"/>
    <n v="454"/>
    <n v="1"/>
    <x v="14"/>
    <s v="RC"/>
    <x v="3"/>
    <n v="96"/>
    <s v="Fascia 2 (da 400 €  a meno di 800 €)"/>
  </r>
  <r>
    <n v="221"/>
    <d v="2014-02-28T00:00:00"/>
    <s v="Azzurri"/>
    <s v="Savona"/>
    <x v="1"/>
    <n v="1337"/>
    <n v="2"/>
    <x v="8"/>
    <s v="SV"/>
    <x v="0"/>
    <n v="83"/>
    <s v="Fascia 4 (da 1200 €  a meno di 1500 €)"/>
  </r>
  <r>
    <n v="222"/>
    <d v="2014-02-22T00:00:00"/>
    <s v="Rossi"/>
    <s v="Perugia"/>
    <x v="2"/>
    <n v="986"/>
    <n v="4"/>
    <x v="15"/>
    <s v="PG"/>
    <x v="1"/>
    <n v="96"/>
    <s v="Fascia 3 (da 800 €  a meno di 1200 €)"/>
  </r>
  <r>
    <n v="223"/>
    <d v="2014-05-17T00:00:00"/>
    <s v="Bianchi"/>
    <s v="Varese"/>
    <x v="0"/>
    <n v="348"/>
    <n v="2"/>
    <x v="7"/>
    <s v="VA"/>
    <x v="0"/>
    <n v="87"/>
    <s v="Fascia 1 (inferiore a 400 €)"/>
  </r>
  <r>
    <n v="224"/>
    <d v="2014-02-09T00:00:00"/>
    <s v="Verdi"/>
    <s v="Trento"/>
    <x v="3"/>
    <n v="582"/>
    <n v="3"/>
    <x v="11"/>
    <s v="TN"/>
    <x v="0"/>
    <n v="84"/>
    <s v="Fascia 2 (da 400 €  a meno di 800 €)"/>
  </r>
  <r>
    <n v="225"/>
    <d v="2014-01-20T00:00:00"/>
    <s v="Rossi"/>
    <s v="Potenza"/>
    <x v="2"/>
    <n v="634"/>
    <n v="2"/>
    <x v="5"/>
    <s v="PZ"/>
    <x v="3"/>
    <n v="96"/>
    <s v="Fascia 2 (da 400 €  a meno di 800 €)"/>
  </r>
  <r>
    <n v="226"/>
    <d v="2014-04-20T00:00:00"/>
    <s v="Azzurri"/>
    <s v="Sassari"/>
    <x v="3"/>
    <n v="282"/>
    <n v="3"/>
    <x v="3"/>
    <s v="SS"/>
    <x v="2"/>
    <n v="83"/>
    <s v="Fascia 1 (inferiore a 400 €)"/>
  </r>
  <r>
    <n v="227"/>
    <d v="2014-04-26T00:00:00"/>
    <s v="Bianchi"/>
    <s v="Pisa"/>
    <x v="2"/>
    <n v="481"/>
    <n v="4"/>
    <x v="1"/>
    <s v="PI"/>
    <x v="1"/>
    <n v="87"/>
    <s v="Fascia 2 (da 400 €  a meno di 800 €)"/>
  </r>
  <r>
    <n v="228"/>
    <d v="2014-03-27T00:00:00"/>
    <s v="Azzurri"/>
    <s v="Rovigo"/>
    <x v="4"/>
    <n v="1441"/>
    <n v="5"/>
    <x v="6"/>
    <s v="RO"/>
    <x v="0"/>
    <n v="83"/>
    <s v="Fascia 4 (da 1200 €  a meno di 1500 €)"/>
  </r>
  <r>
    <n v="229"/>
    <d v="2014-06-15T00:00:00"/>
    <s v="Bianchi"/>
    <s v="Savona"/>
    <x v="4"/>
    <n v="808"/>
    <n v="4"/>
    <x v="8"/>
    <s v="SV"/>
    <x v="0"/>
    <n v="87"/>
    <s v="Fascia 3 (da 800 €  a meno di 1200 €)"/>
  </r>
  <r>
    <n v="230"/>
    <d v="2014-01-17T00:00:00"/>
    <s v="Bianchi"/>
    <s v="Venezia"/>
    <x v="1"/>
    <n v="1874"/>
    <n v="5"/>
    <x v="6"/>
    <s v="VE"/>
    <x v="0"/>
    <n v="87"/>
    <s v="Fascia 5 (da 1500 € e oltre)"/>
  </r>
  <r>
    <n v="231"/>
    <d v="2014-01-21T00:00:00"/>
    <s v="Verdi"/>
    <s v="Potenza"/>
    <x v="0"/>
    <n v="965"/>
    <n v="1"/>
    <x v="5"/>
    <s v="PZ"/>
    <x v="3"/>
    <n v="84"/>
    <s v="Fascia 3 (da 800 €  a meno di 1200 €)"/>
  </r>
  <r>
    <n v="232"/>
    <d v="2014-01-18T00:00:00"/>
    <s v="Verdi"/>
    <s v="Ravenna"/>
    <x v="3"/>
    <n v="93"/>
    <n v="1"/>
    <x v="0"/>
    <s v="RA"/>
    <x v="0"/>
    <n v="84"/>
    <s v="Fascia 1 (inferiore a 400 €)"/>
  </r>
  <r>
    <n v="233"/>
    <d v="2014-01-22T00:00:00"/>
    <s v="Azzurri"/>
    <s v="Trento"/>
    <x v="4"/>
    <n v="1774"/>
    <n v="3"/>
    <x v="11"/>
    <s v="TN"/>
    <x v="0"/>
    <n v="83"/>
    <s v="Fascia 5 (da 1500 € e oltre)"/>
  </r>
  <r>
    <n v="234"/>
    <d v="2014-06-10T00:00:00"/>
    <s v="Verdi"/>
    <s v="Torino"/>
    <x v="2"/>
    <n v="217"/>
    <n v="5"/>
    <x v="2"/>
    <s v="TO"/>
    <x v="0"/>
    <n v="84"/>
    <s v="Fascia 1 (inferiore a 400 €)"/>
  </r>
  <r>
    <n v="235"/>
    <d v="2014-05-07T00:00:00"/>
    <s v="Rossi"/>
    <s v="Vercelli"/>
    <x v="3"/>
    <n v="737"/>
    <n v="3"/>
    <x v="2"/>
    <s v="VC"/>
    <x v="0"/>
    <n v="96"/>
    <s v="Fascia 2 (da 400 €  a meno di 800 €)"/>
  </r>
  <r>
    <n v="236"/>
    <d v="2014-04-07T00:00:00"/>
    <s v="Verdi"/>
    <s v="Verona"/>
    <x v="2"/>
    <n v="1154"/>
    <n v="1"/>
    <x v="6"/>
    <s v="VR"/>
    <x v="0"/>
    <n v="84"/>
    <s v="Fascia 3 (da 800 €  a meno di 1200 €)"/>
  </r>
  <r>
    <n v="237"/>
    <d v="2014-02-17T00:00:00"/>
    <s v="Rossi"/>
    <s v="Taranto"/>
    <x v="1"/>
    <n v="891"/>
    <n v="3"/>
    <x v="17"/>
    <s v="TA"/>
    <x v="3"/>
    <n v="96"/>
    <s v="Fascia 3 (da 800 €  a meno di 1200 €)"/>
  </r>
  <r>
    <n v="238"/>
    <d v="2014-04-25T00:00:00"/>
    <s v="Neri"/>
    <s v="Piacenza"/>
    <x v="0"/>
    <n v="1130"/>
    <n v="2"/>
    <x v="0"/>
    <s v="PC"/>
    <x v="0"/>
    <n v="70"/>
    <s v="Fascia 3 (da 800 €  a meno di 1200 €)"/>
  </r>
  <r>
    <n v="239"/>
    <d v="2014-06-29T00:00:00"/>
    <s v="Azzurri"/>
    <s v="Trento"/>
    <x v="1"/>
    <n v="317"/>
    <n v="4"/>
    <x v="11"/>
    <s v="TN"/>
    <x v="0"/>
    <n v="83"/>
    <s v="Fascia 1 (inferiore a 400 €)"/>
  </r>
  <r>
    <n v="240"/>
    <d v="2014-02-25T00:00:00"/>
    <s v="Azzurri"/>
    <s v="Piacenza"/>
    <x v="2"/>
    <n v="1663"/>
    <n v="5"/>
    <x v="0"/>
    <s v="PC"/>
    <x v="0"/>
    <n v="83"/>
    <s v="Fascia 5 (da 1500 € e oltre)"/>
  </r>
  <r>
    <n v="241"/>
    <d v="2014-01-30T00:00:00"/>
    <s v="Gialli"/>
    <s v="Vercelli"/>
    <x v="4"/>
    <n v="107"/>
    <n v="1"/>
    <x v="2"/>
    <s v="VC"/>
    <x v="0"/>
    <n v="80"/>
    <s v="Fascia 1 (inferiore a 400 €)"/>
  </r>
  <r>
    <n v="242"/>
    <d v="2014-06-10T00:00:00"/>
    <s v="Gialli"/>
    <s v="Udine"/>
    <x v="4"/>
    <n v="1430"/>
    <n v="2"/>
    <x v="4"/>
    <s v="UD"/>
    <x v="0"/>
    <n v="80"/>
    <s v="Fascia 4 (da 1200 €  a meno di 1500 €)"/>
  </r>
  <r>
    <n v="243"/>
    <d v="2014-04-18T00:00:00"/>
    <s v="Rossi"/>
    <s v="Pordenone"/>
    <x v="0"/>
    <n v="298"/>
    <n v="1"/>
    <x v="4"/>
    <s v="PN"/>
    <x v="0"/>
    <n v="96"/>
    <s v="Fascia 1 (inferiore a 400 €)"/>
  </r>
  <r>
    <n v="244"/>
    <d v="2014-04-29T00:00:00"/>
    <s v="Azzurri"/>
    <s v="Reggio di Calabria"/>
    <x v="4"/>
    <n v="1557"/>
    <n v="3"/>
    <x v="14"/>
    <s v="RC"/>
    <x v="3"/>
    <n v="83"/>
    <s v="Fascia 5 (da 1500 € e oltre)"/>
  </r>
  <r>
    <n v="245"/>
    <d v="2014-04-07T00:00:00"/>
    <s v="Neri"/>
    <s v="Pavia"/>
    <x v="4"/>
    <n v="477"/>
    <n v="3"/>
    <x v="7"/>
    <s v="PV"/>
    <x v="0"/>
    <n v="70"/>
    <s v="Fascia 2 (da 400 €  a meno di 800 €)"/>
  </r>
  <r>
    <n v="246"/>
    <d v="2014-02-26T00:00:00"/>
    <s v="Rossi"/>
    <s v="Piacenza"/>
    <x v="3"/>
    <n v="1593"/>
    <n v="3"/>
    <x v="0"/>
    <s v="PC"/>
    <x v="0"/>
    <n v="96"/>
    <s v="Fascia 5 (da 1500 € e oltre)"/>
  </r>
  <r>
    <n v="247"/>
    <d v="2014-02-09T00:00:00"/>
    <s v="Verdi"/>
    <s v="Verbano-Cusio-Ossola"/>
    <x v="2"/>
    <n v="534"/>
    <n v="5"/>
    <x v="2"/>
    <s v="VB"/>
    <x v="0"/>
    <n v="84"/>
    <s v="Fascia 2 (da 400 €  a meno di 800 €)"/>
  </r>
  <r>
    <n v="248"/>
    <d v="2014-06-26T00:00:00"/>
    <s v="Neri"/>
    <s v="Rovigo"/>
    <x v="2"/>
    <n v="1615"/>
    <n v="5"/>
    <x v="6"/>
    <s v="RO"/>
    <x v="0"/>
    <n v="70"/>
    <s v="Fascia 5 (da 1500 € e oltre)"/>
  </r>
  <r>
    <n v="249"/>
    <d v="2014-01-26T00:00:00"/>
    <s v="Verdi"/>
    <s v="Pisa"/>
    <x v="2"/>
    <n v="416"/>
    <n v="3"/>
    <x v="1"/>
    <s v="PI"/>
    <x v="1"/>
    <n v="84"/>
    <s v="Fascia 2 (da 400 €  a meno di 800 €)"/>
  </r>
  <r>
    <n v="250"/>
    <d v="2014-01-26T00:00:00"/>
    <s v="Rossi"/>
    <s v="Venezia"/>
    <x v="4"/>
    <n v="201"/>
    <n v="4"/>
    <x v="6"/>
    <s v="VE"/>
    <x v="0"/>
    <n v="96"/>
    <s v="Fascia 1 (inferiore a 400 €)"/>
  </r>
  <r>
    <n v="251"/>
    <d v="2014-06-14T00:00:00"/>
    <s v="Gialli"/>
    <s v="Pordenone"/>
    <x v="4"/>
    <n v="95"/>
    <n v="3"/>
    <x v="4"/>
    <s v="PN"/>
    <x v="0"/>
    <n v="80"/>
    <s v="Fascia 1 (inferiore a 400 €)"/>
  </r>
  <r>
    <n v="252"/>
    <d v="2014-01-31T00:00:00"/>
    <s v="Verdi"/>
    <s v="Vicenza"/>
    <x v="1"/>
    <n v="1762"/>
    <n v="3"/>
    <x v="6"/>
    <s v="VI"/>
    <x v="0"/>
    <n v="84"/>
    <s v="Fascia 5 (da 1500 € e oltre)"/>
  </r>
  <r>
    <n v="253"/>
    <d v="2014-02-18T00:00:00"/>
    <s v="Gialli"/>
    <s v="Siracusa"/>
    <x v="1"/>
    <n v="222"/>
    <n v="4"/>
    <x v="9"/>
    <s v="SR"/>
    <x v="2"/>
    <n v="80"/>
    <s v="Fascia 1 (inferiore a 400 €)"/>
  </r>
  <r>
    <n v="254"/>
    <d v="2014-04-30T00:00:00"/>
    <s v="Rossi"/>
    <s v="Siracusa"/>
    <x v="2"/>
    <n v="1701"/>
    <n v="3"/>
    <x v="9"/>
    <s v="SR"/>
    <x v="2"/>
    <n v="96"/>
    <s v="Fascia 5 (da 1500 € e oltre)"/>
  </r>
  <r>
    <n v="255"/>
    <d v="2014-01-06T00:00:00"/>
    <s v="Rossi"/>
    <s v="Reggio nell'Emilia"/>
    <x v="3"/>
    <n v="1517"/>
    <n v="1"/>
    <x v="0"/>
    <s v="RE"/>
    <x v="0"/>
    <n v="96"/>
    <s v="Fascia 5 (da 1500 € e oltre)"/>
  </r>
  <r>
    <n v="256"/>
    <d v="2014-05-29T00:00:00"/>
    <s v="Verdi"/>
    <s v="Pesaro e Urbino"/>
    <x v="0"/>
    <n v="1596"/>
    <n v="1"/>
    <x v="10"/>
    <s v="PS"/>
    <x v="1"/>
    <n v="84"/>
    <s v="Fascia 5 (da 1500 € e oltre)"/>
  </r>
  <r>
    <n v="257"/>
    <d v="2014-04-28T00:00:00"/>
    <s v="Gialli"/>
    <s v="Rieti"/>
    <x v="4"/>
    <n v="1048"/>
    <n v="5"/>
    <x v="12"/>
    <s v="RI"/>
    <x v="1"/>
    <n v="80"/>
    <s v="Fascia 3 (da 800 €  a meno di 1200 €)"/>
  </r>
  <r>
    <n v="258"/>
    <d v="2014-03-16T00:00:00"/>
    <s v="Azzurri"/>
    <s v="Vibo Valentia"/>
    <x v="1"/>
    <n v="173"/>
    <n v="5"/>
    <x v="14"/>
    <s v="VV"/>
    <x v="3"/>
    <n v="83"/>
    <s v="Fascia 1 (inferiore a 400 €)"/>
  </r>
  <r>
    <n v="259"/>
    <d v="2014-06-17T00:00:00"/>
    <s v="Bianchi"/>
    <s v="Perugia"/>
    <x v="1"/>
    <n v="1960"/>
    <n v="4"/>
    <x v="15"/>
    <s v="PG"/>
    <x v="1"/>
    <n v="87"/>
    <s v="Fascia 5 (da 1500 € e oltre)"/>
  </r>
  <r>
    <n v="260"/>
    <d v="2014-04-23T00:00:00"/>
    <s v="Gialli"/>
    <s v="Vercelli"/>
    <x v="0"/>
    <n v="910"/>
    <n v="2"/>
    <x v="2"/>
    <s v="VC"/>
    <x v="0"/>
    <n v="80"/>
    <s v="Fascia 3 (da 800 €  a meno di 1200 €)"/>
  </r>
  <r>
    <n v="261"/>
    <d v="2014-05-07T00:00:00"/>
    <s v="Verdi"/>
    <s v="Pavia"/>
    <x v="4"/>
    <n v="830"/>
    <n v="5"/>
    <x v="7"/>
    <s v="PV"/>
    <x v="0"/>
    <n v="84"/>
    <s v="Fascia 3 (da 800 €  a meno di 1200 €)"/>
  </r>
  <r>
    <n v="262"/>
    <d v="2014-05-21T00:00:00"/>
    <s v="Gialli"/>
    <s v="Salerno"/>
    <x v="2"/>
    <n v="1006"/>
    <n v="2"/>
    <x v="13"/>
    <s v="SA"/>
    <x v="3"/>
    <n v="80"/>
    <s v="Fascia 3 (da 800 €  a meno di 1200 €)"/>
  </r>
  <r>
    <n v="263"/>
    <d v="2014-01-28T00:00:00"/>
    <s v="Gialli"/>
    <s v="Pordenone"/>
    <x v="3"/>
    <n v="268"/>
    <n v="4"/>
    <x v="4"/>
    <s v="PN"/>
    <x v="0"/>
    <n v="80"/>
    <s v="Fascia 1 (inferiore a 400 €)"/>
  </r>
  <r>
    <n v="264"/>
    <d v="2014-04-14T00:00:00"/>
    <s v="Verdi"/>
    <s v="Perugia"/>
    <x v="3"/>
    <n v="1160"/>
    <n v="5"/>
    <x v="15"/>
    <s v="PG"/>
    <x v="1"/>
    <n v="84"/>
    <s v="Fascia 3 (da 800 €  a meno di 1200 €)"/>
  </r>
  <r>
    <n v="265"/>
    <d v="2014-03-22T00:00:00"/>
    <s v="Rossi"/>
    <s v="Pavia"/>
    <x v="3"/>
    <n v="1000"/>
    <n v="1"/>
    <x v="7"/>
    <s v="PV"/>
    <x v="0"/>
    <n v="96"/>
    <s v="Fascia 3 (da 800 €  a meno di 1200 €)"/>
  </r>
  <r>
    <n v="266"/>
    <d v="2014-03-17T00:00:00"/>
    <s v="Bianchi"/>
    <s v="Pescara"/>
    <x v="0"/>
    <n v="1733"/>
    <n v="5"/>
    <x v="16"/>
    <s v="PE"/>
    <x v="1"/>
    <n v="87"/>
    <s v="Fascia 5 (da 1500 € e oltre)"/>
  </r>
  <r>
    <n v="267"/>
    <d v="2014-06-09T00:00:00"/>
    <s v="Gialli"/>
    <s v="Savona"/>
    <x v="0"/>
    <n v="892"/>
    <n v="4"/>
    <x v="8"/>
    <s v="SV"/>
    <x v="0"/>
    <n v="80"/>
    <s v="Fascia 3 (da 800 €  a meno di 1200 €)"/>
  </r>
  <r>
    <n v="268"/>
    <d v="2014-05-19T00:00:00"/>
    <s v="Rossi"/>
    <s v="Ragusa"/>
    <x v="4"/>
    <n v="425"/>
    <n v="2"/>
    <x v="9"/>
    <s v="RG"/>
    <x v="2"/>
    <n v="96"/>
    <s v="Fascia 2 (da 400 €  a meno di 800 €)"/>
  </r>
  <r>
    <n v="269"/>
    <d v="2014-06-27T00:00:00"/>
    <s v="Rossi"/>
    <s v="Reggio nell'Emilia"/>
    <x v="4"/>
    <n v="262"/>
    <n v="3"/>
    <x v="0"/>
    <s v="RE"/>
    <x v="0"/>
    <n v="96"/>
    <s v="Fascia 1 (inferiore a 400 €)"/>
  </r>
  <r>
    <n v="270"/>
    <d v="2014-05-15T00:00:00"/>
    <s v="Verdi"/>
    <s v="Ravenna"/>
    <x v="4"/>
    <n v="1475"/>
    <n v="3"/>
    <x v="0"/>
    <s v="RA"/>
    <x v="0"/>
    <n v="84"/>
    <s v="Fascia 4 (da 1200 €  a meno di 1500 €)"/>
  </r>
  <r>
    <n v="271"/>
    <d v="2014-05-31T00:00:00"/>
    <s v="Azzurri"/>
    <s v="Vibo Valentia"/>
    <x v="4"/>
    <n v="1483"/>
    <n v="2"/>
    <x v="14"/>
    <s v="VV"/>
    <x v="3"/>
    <n v="83"/>
    <s v="Fascia 4 (da 1200 €  a meno di 1500 €)"/>
  </r>
  <r>
    <n v="272"/>
    <d v="2014-05-09T00:00:00"/>
    <s v="Bianchi"/>
    <s v="Rimini"/>
    <x v="0"/>
    <n v="1255"/>
    <n v="5"/>
    <x v="0"/>
    <s v="RN"/>
    <x v="0"/>
    <n v="87"/>
    <s v="Fascia 4 (da 1200 €  a meno di 1500 €)"/>
  </r>
  <r>
    <n v="273"/>
    <d v="2014-02-13T00:00:00"/>
    <s v="Bianchi"/>
    <s v="Savona"/>
    <x v="4"/>
    <n v="1687"/>
    <n v="2"/>
    <x v="8"/>
    <s v="SV"/>
    <x v="0"/>
    <n v="87"/>
    <s v="Fascia 5 (da 1500 € e oltre)"/>
  </r>
  <r>
    <n v="274"/>
    <d v="2014-02-13T00:00:00"/>
    <s v="Gialli"/>
    <s v="Vicenza"/>
    <x v="2"/>
    <n v="792"/>
    <n v="5"/>
    <x v="6"/>
    <s v="VI"/>
    <x v="0"/>
    <n v="80"/>
    <s v="Fascia 2 (da 400 €  a meno di 800 €)"/>
  </r>
  <r>
    <n v="275"/>
    <d v="2014-06-09T00:00:00"/>
    <s v="Gialli"/>
    <s v="Rieti"/>
    <x v="3"/>
    <n v="1284"/>
    <n v="2"/>
    <x v="12"/>
    <s v="RI"/>
    <x v="1"/>
    <n v="80"/>
    <s v="Fascia 4 (da 1200 €  a meno di 1500 €)"/>
  </r>
  <r>
    <n v="276"/>
    <d v="2014-04-01T00:00:00"/>
    <s v="Gialli"/>
    <s v="Prato"/>
    <x v="1"/>
    <n v="1007"/>
    <n v="3"/>
    <x v="1"/>
    <s v="PO"/>
    <x v="1"/>
    <n v="80"/>
    <s v="Fascia 3 (da 800 €  a meno di 1200 €)"/>
  </r>
  <r>
    <n v="277"/>
    <d v="2014-05-19T00:00:00"/>
    <s v="Verdi"/>
    <s v="Pescara"/>
    <x v="4"/>
    <n v="1313"/>
    <n v="3"/>
    <x v="16"/>
    <s v="PE"/>
    <x v="1"/>
    <n v="84"/>
    <s v="Fascia 4 (da 1200 €  a meno di 1500 €)"/>
  </r>
  <r>
    <n v="278"/>
    <d v="2014-04-29T00:00:00"/>
    <s v="Verdi"/>
    <s v="Reggio di Calabria"/>
    <x v="2"/>
    <n v="535"/>
    <n v="4"/>
    <x v="14"/>
    <s v="RC"/>
    <x v="3"/>
    <n v="84"/>
    <s v="Fascia 2 (da 400 €  a meno di 800 €)"/>
  </r>
  <r>
    <n v="279"/>
    <d v="2014-04-14T00:00:00"/>
    <s v="Verdi"/>
    <s v="Prato"/>
    <x v="4"/>
    <n v="930"/>
    <n v="5"/>
    <x v="1"/>
    <s v="PO"/>
    <x v="1"/>
    <n v="84"/>
    <s v="Fascia 3 (da 800 €  a meno di 1200 €)"/>
  </r>
  <r>
    <n v="280"/>
    <d v="2014-02-08T00:00:00"/>
    <s v="Neri"/>
    <s v="Varese"/>
    <x v="1"/>
    <n v="1008"/>
    <n v="3"/>
    <x v="7"/>
    <s v="VA"/>
    <x v="0"/>
    <n v="70"/>
    <s v="Fascia 3 (da 800 €  a meno di 1200 €)"/>
  </r>
  <r>
    <n v="281"/>
    <d v="2014-01-17T00:00:00"/>
    <s v="Azzurri"/>
    <s v="Taranto"/>
    <x v="4"/>
    <n v="840"/>
    <n v="1"/>
    <x v="17"/>
    <s v="TA"/>
    <x v="3"/>
    <n v="83"/>
    <s v="Fascia 3 (da 800 €  a meno di 1200 €)"/>
  </r>
  <r>
    <n v="282"/>
    <d v="2014-06-11T00:00:00"/>
    <s v="Rossi"/>
    <s v="Siena"/>
    <x v="4"/>
    <n v="58"/>
    <n v="5"/>
    <x v="1"/>
    <s v="SI"/>
    <x v="1"/>
    <n v="96"/>
    <s v="Fascia 1 (inferiore a 400 €)"/>
  </r>
  <r>
    <n v="283"/>
    <d v="2014-04-14T00:00:00"/>
    <s v="Neri"/>
    <s v="Trapani"/>
    <x v="0"/>
    <n v="652"/>
    <n v="5"/>
    <x v="9"/>
    <s v="TP"/>
    <x v="2"/>
    <n v="70"/>
    <s v="Fascia 2 (da 400 €  a meno di 800 €)"/>
  </r>
  <r>
    <n v="284"/>
    <d v="2014-05-29T00:00:00"/>
    <s v="Bianchi"/>
    <s v="Torino"/>
    <x v="4"/>
    <n v="834"/>
    <n v="2"/>
    <x v="2"/>
    <s v="TO"/>
    <x v="0"/>
    <n v="87"/>
    <s v="Fascia 3 (da 800 €  a meno di 1200 €)"/>
  </r>
  <r>
    <n v="285"/>
    <d v="2014-04-17T00:00:00"/>
    <s v="Rossi"/>
    <s v="Teramo"/>
    <x v="0"/>
    <n v="1394"/>
    <n v="5"/>
    <x v="16"/>
    <s v="TE"/>
    <x v="1"/>
    <n v="96"/>
    <s v="Fascia 4 (da 1200 €  a meno di 1500 €)"/>
  </r>
  <r>
    <n v="286"/>
    <d v="2014-04-11T00:00:00"/>
    <s v="Rossi"/>
    <s v="Perugia"/>
    <x v="1"/>
    <n v="1809"/>
    <n v="2"/>
    <x v="15"/>
    <s v="PG"/>
    <x v="1"/>
    <n v="96"/>
    <s v="Fascia 5 (da 1500 € e oltre)"/>
  </r>
  <r>
    <n v="287"/>
    <d v="2014-04-28T00:00:00"/>
    <s v="Azzurri"/>
    <s v="Rieti"/>
    <x v="1"/>
    <n v="1381"/>
    <n v="3"/>
    <x v="12"/>
    <s v="RI"/>
    <x v="1"/>
    <n v="83"/>
    <s v="Fascia 4 (da 1200 €  a meno di 1500 €)"/>
  </r>
  <r>
    <n v="288"/>
    <d v="2014-02-27T00:00:00"/>
    <s v="Gialli"/>
    <s v="Pisa"/>
    <x v="4"/>
    <n v="742"/>
    <n v="1"/>
    <x v="1"/>
    <s v="PI"/>
    <x v="1"/>
    <n v="80"/>
    <s v="Fascia 2 (da 400 €  a meno di 800 €)"/>
  </r>
  <r>
    <n v="289"/>
    <d v="2014-05-11T00:00:00"/>
    <s v="Verdi"/>
    <s v="Pordenone"/>
    <x v="2"/>
    <n v="12"/>
    <n v="4"/>
    <x v="4"/>
    <s v="PN"/>
    <x v="0"/>
    <n v="84"/>
    <s v="Fascia 1 (inferiore a 400 €)"/>
  </r>
  <r>
    <n v="290"/>
    <d v="2014-04-29T00:00:00"/>
    <s v="Neri"/>
    <s v="Verbano-Cusio-Ossola"/>
    <x v="0"/>
    <n v="118"/>
    <n v="5"/>
    <x v="2"/>
    <s v="VB"/>
    <x v="0"/>
    <n v="70"/>
    <s v="Fascia 1 (inferiore a 400 €)"/>
  </r>
  <r>
    <n v="291"/>
    <d v="2014-03-03T00:00:00"/>
    <s v="Rossi"/>
    <s v="Pesaro e Urbino"/>
    <x v="1"/>
    <n v="2000"/>
    <n v="4"/>
    <x v="10"/>
    <s v="PS"/>
    <x v="1"/>
    <n v="96"/>
    <s v="Fascia 5 (da 1500 € e oltre)"/>
  </r>
  <r>
    <n v="292"/>
    <d v="2014-02-04T00:00:00"/>
    <s v="Azzurri"/>
    <s v="Teramo"/>
    <x v="4"/>
    <n v="1963"/>
    <n v="4"/>
    <x v="16"/>
    <s v="TE"/>
    <x v="1"/>
    <n v="83"/>
    <s v="Fascia 5 (da 1500 € e oltre)"/>
  </r>
  <r>
    <n v="293"/>
    <d v="2014-02-24T00:00:00"/>
    <s v="Bianchi"/>
    <s v="Savona"/>
    <x v="1"/>
    <n v="1583"/>
    <n v="4"/>
    <x v="8"/>
    <s v="SV"/>
    <x v="0"/>
    <n v="87"/>
    <s v="Fascia 5 (da 1500 € e oltre)"/>
  </r>
  <r>
    <n v="294"/>
    <d v="2014-03-07T00:00:00"/>
    <s v="Neri"/>
    <s v="Verbano-Cusio-Ossola"/>
    <x v="2"/>
    <n v="1103"/>
    <n v="1"/>
    <x v="2"/>
    <s v="VB"/>
    <x v="0"/>
    <n v="70"/>
    <s v="Fascia 3 (da 800 €  a meno di 1200 €)"/>
  </r>
  <r>
    <n v="295"/>
    <d v="2014-06-24T00:00:00"/>
    <s v="Azzurri"/>
    <s v="Sondrio"/>
    <x v="0"/>
    <n v="837"/>
    <n v="3"/>
    <x v="7"/>
    <s v="SO"/>
    <x v="0"/>
    <n v="83"/>
    <s v="Fascia 3 (da 800 €  a meno di 1200 €)"/>
  </r>
  <r>
    <n v="296"/>
    <d v="2014-05-13T00:00:00"/>
    <s v="Neri"/>
    <s v="Reggio di Calabria"/>
    <x v="0"/>
    <n v="6"/>
    <n v="2"/>
    <x v="14"/>
    <s v="RC"/>
    <x v="3"/>
    <n v="70"/>
    <s v="Fascia 1 (inferiore a 400 €)"/>
  </r>
  <r>
    <n v="297"/>
    <d v="2014-03-05T00:00:00"/>
    <s v="Gialli"/>
    <s v="Potenza"/>
    <x v="4"/>
    <n v="94"/>
    <n v="5"/>
    <x v="5"/>
    <s v="PZ"/>
    <x v="3"/>
    <n v="80"/>
    <s v="Fascia 1 (inferiore a 400 €)"/>
  </r>
  <r>
    <n v="298"/>
    <d v="2014-01-15T00:00:00"/>
    <s v="Verdi"/>
    <s v="Siracusa"/>
    <x v="3"/>
    <n v="1206"/>
    <n v="1"/>
    <x v="9"/>
    <s v="SR"/>
    <x v="2"/>
    <n v="84"/>
    <s v="Fascia 4 (da 1200 €  a meno di 1500 €)"/>
  </r>
  <r>
    <n v="299"/>
    <d v="2014-02-07T00:00:00"/>
    <s v="Gialli"/>
    <s v="Reggio di Calabria"/>
    <x v="4"/>
    <n v="1266"/>
    <n v="4"/>
    <x v="14"/>
    <s v="RC"/>
    <x v="3"/>
    <n v="80"/>
    <s v="Fascia 4 (da 1200 €  a meno di 1500 €)"/>
  </r>
  <r>
    <n v="300"/>
    <d v="2014-03-10T00:00:00"/>
    <s v="Bianchi"/>
    <s v="Treviso"/>
    <x v="2"/>
    <n v="707"/>
    <n v="5"/>
    <x v="6"/>
    <s v="TV"/>
    <x v="0"/>
    <n v="87"/>
    <s v="Fascia 2 (da 400 €  a meno di 800 €)"/>
  </r>
  <r>
    <n v="301"/>
    <d v="2014-06-25T00:00:00"/>
    <s v="Neri"/>
    <s v="Sondrio"/>
    <x v="0"/>
    <n v="42"/>
    <n v="2"/>
    <x v="7"/>
    <s v="SO"/>
    <x v="0"/>
    <n v="70"/>
    <s v="Fascia 1 (inferiore a 400 €)"/>
  </r>
  <r>
    <n v="302"/>
    <d v="2014-02-05T00:00:00"/>
    <s v="Bianchi"/>
    <s v="Verbano-Cusio-Ossola"/>
    <x v="0"/>
    <n v="1560"/>
    <n v="5"/>
    <x v="2"/>
    <s v="VB"/>
    <x v="0"/>
    <n v="87"/>
    <s v="Fascia 5 (da 1500 € e oltre)"/>
  </r>
  <r>
    <n v="303"/>
    <d v="2014-05-05T00:00:00"/>
    <s v="Verdi"/>
    <s v="Roma"/>
    <x v="2"/>
    <n v="1996"/>
    <n v="2"/>
    <x v="12"/>
    <s v="RM"/>
    <x v="1"/>
    <n v="84"/>
    <s v="Fascia 5 (da 1500 € e oltre)"/>
  </r>
  <r>
    <n v="304"/>
    <d v="2014-02-20T00:00:00"/>
    <s v="Rossi"/>
    <s v="Pisa"/>
    <x v="1"/>
    <n v="884"/>
    <n v="4"/>
    <x v="1"/>
    <s v="PI"/>
    <x v="1"/>
    <n v="96"/>
    <s v="Fascia 3 (da 800 €  a meno di 1200 €)"/>
  </r>
  <r>
    <n v="305"/>
    <d v="2014-05-25T00:00:00"/>
    <s v="Rossi"/>
    <s v="Sassari"/>
    <x v="0"/>
    <n v="534"/>
    <n v="4"/>
    <x v="3"/>
    <s v="SS"/>
    <x v="2"/>
    <n v="96"/>
    <s v="Fascia 2 (da 400 €  a meno di 800 €)"/>
  </r>
  <r>
    <n v="306"/>
    <d v="2014-04-11T00:00:00"/>
    <s v="Bianchi"/>
    <s v="Ragusa"/>
    <x v="4"/>
    <n v="1370"/>
    <n v="2"/>
    <x v="9"/>
    <s v="RG"/>
    <x v="2"/>
    <n v="87"/>
    <s v="Fascia 4 (da 1200 €  a meno di 1500 €)"/>
  </r>
  <r>
    <n v="307"/>
    <d v="2014-02-01T00:00:00"/>
    <s v="Bianchi"/>
    <s v="Rimini"/>
    <x v="0"/>
    <n v="331"/>
    <n v="4"/>
    <x v="0"/>
    <s v="RN"/>
    <x v="0"/>
    <n v="87"/>
    <s v="Fascia 1 (inferiore a 400 €)"/>
  </r>
  <r>
    <n v="308"/>
    <d v="2014-03-24T00:00:00"/>
    <s v="Bianchi"/>
    <s v="Verbano-Cusio-Ossola"/>
    <x v="2"/>
    <n v="878"/>
    <n v="1"/>
    <x v="2"/>
    <s v="VB"/>
    <x v="0"/>
    <n v="87"/>
    <s v="Fascia 3 (da 800 €  a meno di 1200 €)"/>
  </r>
  <r>
    <n v="309"/>
    <d v="2014-01-27T00:00:00"/>
    <s v="Rossi"/>
    <s v="Verbano-Cusio-Ossola"/>
    <x v="0"/>
    <n v="1320"/>
    <n v="2"/>
    <x v="2"/>
    <s v="VB"/>
    <x v="0"/>
    <n v="96"/>
    <s v="Fascia 4 (da 1200 €  a meno di 1500 €)"/>
  </r>
  <r>
    <n v="310"/>
    <d v="2014-05-28T00:00:00"/>
    <s v="Azzurri"/>
    <s v="Reggio di Calabria"/>
    <x v="3"/>
    <n v="1889"/>
    <n v="5"/>
    <x v="14"/>
    <s v="RC"/>
    <x v="3"/>
    <n v="83"/>
    <s v="Fascia 5 (da 1500 € e oltre)"/>
  </r>
  <r>
    <n v="311"/>
    <d v="2014-02-27T00:00:00"/>
    <s v="Verdi"/>
    <s v="Rovigo"/>
    <x v="4"/>
    <n v="1330"/>
    <n v="5"/>
    <x v="6"/>
    <s v="RO"/>
    <x v="0"/>
    <n v="84"/>
    <s v="Fascia 4 (da 1200 €  a meno di 1500 €)"/>
  </r>
  <r>
    <n v="312"/>
    <d v="2014-02-08T00:00:00"/>
    <s v="Verdi"/>
    <s v="Reggio di Calabria"/>
    <x v="1"/>
    <n v="1515"/>
    <n v="3"/>
    <x v="14"/>
    <s v="RC"/>
    <x v="3"/>
    <n v="84"/>
    <s v="Fascia 5 (da 1500 € e oltre)"/>
  </r>
  <r>
    <n v="313"/>
    <d v="2014-05-06T00:00:00"/>
    <s v="Rossi"/>
    <s v="Terni"/>
    <x v="2"/>
    <n v="363"/>
    <n v="4"/>
    <x v="15"/>
    <s v="TR"/>
    <x v="1"/>
    <n v="96"/>
    <s v="Fascia 1 (inferiore a 400 €)"/>
  </r>
  <r>
    <n v="314"/>
    <d v="2014-05-23T00:00:00"/>
    <s v="Azzurri"/>
    <s v="Trieste"/>
    <x v="2"/>
    <n v="1616"/>
    <n v="2"/>
    <x v="4"/>
    <s v="TS"/>
    <x v="0"/>
    <n v="83"/>
    <s v="Fascia 5 (da 1500 € e oltre)"/>
  </r>
  <r>
    <n v="315"/>
    <d v="2014-03-07T00:00:00"/>
    <s v="Gialli"/>
    <s v="Pisa"/>
    <x v="2"/>
    <n v="66"/>
    <n v="3"/>
    <x v="1"/>
    <s v="PI"/>
    <x v="1"/>
    <n v="80"/>
    <s v="Fascia 1 (inferiore a 400 €)"/>
  </r>
  <r>
    <n v="316"/>
    <d v="2014-01-20T00:00:00"/>
    <s v="Rossi"/>
    <s v="Potenza"/>
    <x v="0"/>
    <n v="1451"/>
    <n v="2"/>
    <x v="5"/>
    <s v="PZ"/>
    <x v="3"/>
    <n v="96"/>
    <s v="Fascia 4 (da 1200 €  a meno di 1500 €)"/>
  </r>
  <r>
    <n v="317"/>
    <d v="2014-06-14T00:00:00"/>
    <s v="Bianchi"/>
    <s v="Siracusa"/>
    <x v="1"/>
    <n v="922"/>
    <n v="1"/>
    <x v="9"/>
    <s v="SR"/>
    <x v="2"/>
    <n v="87"/>
    <s v="Fascia 3 (da 800 €  a meno di 1200 €)"/>
  </r>
  <r>
    <n v="318"/>
    <d v="2014-04-18T00:00:00"/>
    <s v="Azzurri"/>
    <s v="Perugia"/>
    <x v="2"/>
    <n v="777"/>
    <n v="4"/>
    <x v="15"/>
    <s v="PG"/>
    <x v="1"/>
    <n v="83"/>
    <s v="Fascia 2 (da 400 €  a meno di 800 €)"/>
  </r>
  <r>
    <n v="319"/>
    <d v="2014-04-19T00:00:00"/>
    <s v="Azzurri"/>
    <s v="Vercelli"/>
    <x v="0"/>
    <n v="1553"/>
    <n v="3"/>
    <x v="2"/>
    <s v="VC"/>
    <x v="0"/>
    <n v="83"/>
    <s v="Fascia 5 (da 1500 € e oltre)"/>
  </r>
  <r>
    <n v="320"/>
    <d v="2014-01-21T00:00:00"/>
    <s v="Azzurri"/>
    <s v="Roma"/>
    <x v="3"/>
    <n v="1602"/>
    <n v="4"/>
    <x v="12"/>
    <s v="RM"/>
    <x v="1"/>
    <n v="83"/>
    <s v="Fascia 5 (da 1500 € e oltre)"/>
  </r>
  <r>
    <n v="321"/>
    <d v="2014-04-16T00:00:00"/>
    <s v="Neri"/>
    <s v="Trieste"/>
    <x v="2"/>
    <n v="1223"/>
    <n v="4"/>
    <x v="4"/>
    <s v="TS"/>
    <x v="0"/>
    <n v="70"/>
    <s v="Fascia 4 (da 1200 €  a meno di 1500 €)"/>
  </r>
  <r>
    <n v="322"/>
    <d v="2014-06-09T00:00:00"/>
    <s v="Rossi"/>
    <s v="Savona"/>
    <x v="2"/>
    <n v="1410"/>
    <n v="1"/>
    <x v="8"/>
    <s v="SV"/>
    <x v="0"/>
    <n v="96"/>
    <s v="Fascia 4 (da 1200 €  a meno di 1500 €)"/>
  </r>
  <r>
    <n v="323"/>
    <d v="2014-01-01T00:00:00"/>
    <s v="Rossi"/>
    <s v="Rovigo"/>
    <x v="1"/>
    <n v="452"/>
    <n v="4"/>
    <x v="6"/>
    <s v="RO"/>
    <x v="0"/>
    <n v="96"/>
    <s v="Fascia 2 (da 400 €  a meno di 800 €)"/>
  </r>
  <r>
    <n v="324"/>
    <d v="2014-01-19T00:00:00"/>
    <s v="Verdi"/>
    <s v="Pescara"/>
    <x v="1"/>
    <n v="242"/>
    <n v="1"/>
    <x v="16"/>
    <s v="PE"/>
    <x v="1"/>
    <n v="84"/>
    <s v="Fascia 1 (inferiore a 400 €)"/>
  </r>
  <r>
    <n v="325"/>
    <d v="2014-04-15T00:00:00"/>
    <s v="Neri"/>
    <s v="Piacenza"/>
    <x v="3"/>
    <n v="1568"/>
    <n v="4"/>
    <x v="0"/>
    <s v="PC"/>
    <x v="0"/>
    <n v="70"/>
    <s v="Fascia 5 (da 1500 € e oltre)"/>
  </r>
  <r>
    <n v="326"/>
    <d v="2014-03-08T00:00:00"/>
    <s v="Verdi"/>
    <s v="Viterbo"/>
    <x v="2"/>
    <n v="207"/>
    <n v="4"/>
    <x v="12"/>
    <s v="VT"/>
    <x v="1"/>
    <n v="84"/>
    <s v="Fascia 1 (inferiore a 400 €)"/>
  </r>
  <r>
    <n v="327"/>
    <d v="2014-04-20T00:00:00"/>
    <s v="Neri"/>
    <s v="Rieti"/>
    <x v="4"/>
    <n v="1912"/>
    <n v="2"/>
    <x v="12"/>
    <s v="RI"/>
    <x v="1"/>
    <n v="70"/>
    <s v="Fascia 5 (da 1500 € e oltre)"/>
  </r>
  <r>
    <n v="328"/>
    <d v="2014-01-16T00:00:00"/>
    <s v="Neri"/>
    <s v="Reggio nell'Emilia"/>
    <x v="0"/>
    <n v="771"/>
    <n v="5"/>
    <x v="0"/>
    <s v="RE"/>
    <x v="0"/>
    <n v="70"/>
    <s v="Fascia 2 (da 400 €  a meno di 800 €)"/>
  </r>
  <r>
    <n v="329"/>
    <d v="2014-02-23T00:00:00"/>
    <s v="Gialli"/>
    <s v="Savona"/>
    <x v="2"/>
    <n v="97"/>
    <n v="2"/>
    <x v="8"/>
    <s v="SV"/>
    <x v="0"/>
    <n v="80"/>
    <s v="Fascia 1 (inferiore a 400 €)"/>
  </r>
  <r>
    <n v="330"/>
    <d v="2014-03-18T00:00:00"/>
    <s v="Rossi"/>
    <s v="Pescara"/>
    <x v="0"/>
    <n v="1361"/>
    <n v="5"/>
    <x v="16"/>
    <s v="PE"/>
    <x v="1"/>
    <n v="96"/>
    <s v="Fascia 4 (da 1200 €  a meno di 1500 €)"/>
  </r>
  <r>
    <n v="331"/>
    <d v="2014-03-05T00:00:00"/>
    <s v="Azzurri"/>
    <s v="Vicenza"/>
    <x v="4"/>
    <n v="1986"/>
    <n v="4"/>
    <x v="6"/>
    <s v="VI"/>
    <x v="0"/>
    <n v="83"/>
    <s v="Fascia 5 (da 1500 € e oltre)"/>
  </r>
  <r>
    <n v="332"/>
    <d v="2014-03-10T00:00:00"/>
    <s v="Bianchi"/>
    <s v="Venezia"/>
    <x v="0"/>
    <n v="1244"/>
    <n v="3"/>
    <x v="6"/>
    <s v="VE"/>
    <x v="0"/>
    <n v="87"/>
    <s v="Fascia 4 (da 1200 €  a meno di 1500 €)"/>
  </r>
  <r>
    <n v="333"/>
    <d v="2014-06-01T00:00:00"/>
    <s v="Verdi"/>
    <s v="Roma"/>
    <x v="3"/>
    <n v="1319"/>
    <n v="1"/>
    <x v="12"/>
    <s v="RM"/>
    <x v="1"/>
    <n v="84"/>
    <s v="Fascia 4 (da 1200 €  a meno di 1500 €)"/>
  </r>
  <r>
    <n v="334"/>
    <d v="2014-02-14T00:00:00"/>
    <s v="Gialli"/>
    <s v="Siena"/>
    <x v="2"/>
    <n v="1554"/>
    <n v="4"/>
    <x v="1"/>
    <s v="SI"/>
    <x v="1"/>
    <n v="80"/>
    <s v="Fascia 5 (da 1500 € e oltre)"/>
  </r>
  <r>
    <n v="335"/>
    <d v="2014-05-04T00:00:00"/>
    <s v="Bianchi"/>
    <s v="Pordenone"/>
    <x v="4"/>
    <n v="1472"/>
    <n v="4"/>
    <x v="4"/>
    <s v="PN"/>
    <x v="0"/>
    <n v="87"/>
    <s v="Fascia 4 (da 1200 €  a meno di 1500 €)"/>
  </r>
  <r>
    <n v="336"/>
    <d v="2014-05-25T00:00:00"/>
    <s v="Bianchi"/>
    <s v="Vercelli"/>
    <x v="3"/>
    <n v="220"/>
    <n v="5"/>
    <x v="2"/>
    <s v="VC"/>
    <x v="0"/>
    <n v="87"/>
    <s v="Fascia 1 (inferiore a 400 €)"/>
  </r>
  <r>
    <n v="337"/>
    <d v="2014-06-19T00:00:00"/>
    <s v="Verdi"/>
    <s v="Perugia"/>
    <x v="4"/>
    <n v="397"/>
    <n v="2"/>
    <x v="15"/>
    <s v="PG"/>
    <x v="1"/>
    <n v="84"/>
    <s v="Fascia 1 (inferiore a 400 €)"/>
  </r>
  <r>
    <n v="338"/>
    <d v="2014-05-10T00:00:00"/>
    <s v="Gialli"/>
    <s v="Viterbo"/>
    <x v="4"/>
    <n v="844"/>
    <n v="5"/>
    <x v="12"/>
    <s v="VT"/>
    <x v="1"/>
    <n v="80"/>
    <s v="Fascia 3 (da 800 €  a meno di 1200 €)"/>
  </r>
  <r>
    <n v="339"/>
    <d v="2014-01-16T00:00:00"/>
    <s v="Verdi"/>
    <s v="Salerno"/>
    <x v="4"/>
    <n v="1733"/>
    <n v="3"/>
    <x v="13"/>
    <s v="SA"/>
    <x v="3"/>
    <n v="84"/>
    <s v="Fascia 5 (da 1500 € e oltre)"/>
  </r>
  <r>
    <n v="340"/>
    <d v="2014-04-04T00:00:00"/>
    <s v="Gialli"/>
    <s v="Teramo"/>
    <x v="1"/>
    <n v="1937"/>
    <n v="1"/>
    <x v="16"/>
    <s v="TE"/>
    <x v="1"/>
    <n v="80"/>
    <s v="Fascia 5 (da 1500 € e oltre)"/>
  </r>
  <r>
    <n v="341"/>
    <d v="2014-04-10T00:00:00"/>
    <s v="Rossi"/>
    <s v="Potenza"/>
    <x v="4"/>
    <n v="591"/>
    <n v="3"/>
    <x v="5"/>
    <s v="PZ"/>
    <x v="3"/>
    <n v="96"/>
    <s v="Fascia 2 (da 400 €  a meno di 800 €)"/>
  </r>
  <r>
    <n v="342"/>
    <d v="2014-04-02T00:00:00"/>
    <s v="Azzurri"/>
    <s v="Pistoia"/>
    <x v="0"/>
    <n v="1022"/>
    <n v="3"/>
    <x v="1"/>
    <s v="PT"/>
    <x v="1"/>
    <n v="83"/>
    <s v="Fascia 3 (da 800 €  a meno di 1200 €)"/>
  </r>
  <r>
    <n v="343"/>
    <d v="2014-04-27T00:00:00"/>
    <s v="Gialli"/>
    <s v="Varese"/>
    <x v="3"/>
    <n v="990"/>
    <n v="5"/>
    <x v="7"/>
    <s v="VA"/>
    <x v="0"/>
    <n v="80"/>
    <s v="Fascia 3 (da 800 €  a meno di 1200 €)"/>
  </r>
  <r>
    <n v="344"/>
    <d v="2014-06-01T00:00:00"/>
    <s v="Bianchi"/>
    <s v="Perugia"/>
    <x v="2"/>
    <n v="842"/>
    <n v="2"/>
    <x v="15"/>
    <s v="PG"/>
    <x v="1"/>
    <n v="87"/>
    <s v="Fascia 3 (da 800 €  a meno di 1200 €)"/>
  </r>
  <r>
    <n v="345"/>
    <d v="2014-05-04T00:00:00"/>
    <s v="Verdi"/>
    <s v="Verbano-Cusio-Ossola"/>
    <x v="4"/>
    <n v="506"/>
    <n v="5"/>
    <x v="2"/>
    <s v="VB"/>
    <x v="0"/>
    <n v="84"/>
    <s v="Fascia 2 (da 400 €  a meno di 800 €)"/>
  </r>
  <r>
    <n v="346"/>
    <d v="2014-04-18T00:00:00"/>
    <s v="Verdi"/>
    <s v="Perugia"/>
    <x v="0"/>
    <n v="1170"/>
    <n v="3"/>
    <x v="15"/>
    <s v="PG"/>
    <x v="1"/>
    <n v="84"/>
    <s v="Fascia 3 (da 800 €  a meno di 1200 €)"/>
  </r>
  <r>
    <n v="347"/>
    <d v="2014-05-18T00:00:00"/>
    <s v="Rossi"/>
    <s v="Terni"/>
    <x v="2"/>
    <n v="460"/>
    <n v="4"/>
    <x v="15"/>
    <s v="TR"/>
    <x v="1"/>
    <n v="96"/>
    <s v="Fascia 2 (da 400 €  a meno di 800 €)"/>
  </r>
  <r>
    <n v="348"/>
    <d v="2014-06-13T00:00:00"/>
    <s v="Azzurri"/>
    <s v="Sassari"/>
    <x v="2"/>
    <n v="1321"/>
    <n v="1"/>
    <x v="3"/>
    <s v="SS"/>
    <x v="2"/>
    <n v="83"/>
    <s v="Fascia 4 (da 1200 €  a meno di 1500 €)"/>
  </r>
  <r>
    <n v="349"/>
    <d v="2014-04-27T00:00:00"/>
    <s v="Verdi"/>
    <s v="Ragusa"/>
    <x v="0"/>
    <n v="166"/>
    <n v="5"/>
    <x v="9"/>
    <s v="RG"/>
    <x v="2"/>
    <n v="84"/>
    <s v="Fascia 1 (inferiore a 400 €)"/>
  </r>
  <r>
    <n v="350"/>
    <d v="2014-05-12T00:00:00"/>
    <s v="Neri"/>
    <s v="Viterbo"/>
    <x v="0"/>
    <n v="1115"/>
    <n v="1"/>
    <x v="12"/>
    <s v="VT"/>
    <x v="1"/>
    <n v="70"/>
    <s v="Fascia 3 (da 800 €  a meno di 1200 €)"/>
  </r>
  <r>
    <n v="351"/>
    <d v="2014-02-26T00:00:00"/>
    <s v="Bianchi"/>
    <s v="Perugia"/>
    <x v="0"/>
    <n v="1919"/>
    <n v="2"/>
    <x v="15"/>
    <s v="PG"/>
    <x v="1"/>
    <n v="87"/>
    <s v="Fascia 5 (da 1500 € e oltre)"/>
  </r>
  <r>
    <n v="352"/>
    <d v="2014-06-19T00:00:00"/>
    <s v="Rossi"/>
    <s v="Rovigo"/>
    <x v="0"/>
    <n v="1514"/>
    <n v="3"/>
    <x v="6"/>
    <s v="RO"/>
    <x v="0"/>
    <n v="96"/>
    <s v="Fascia 5 (da 1500 € e oltre)"/>
  </r>
  <r>
    <n v="353"/>
    <d v="2014-05-24T00:00:00"/>
    <s v="Verdi"/>
    <s v="Rovigo"/>
    <x v="3"/>
    <n v="3"/>
    <n v="2"/>
    <x v="6"/>
    <s v="RO"/>
    <x v="0"/>
    <n v="84"/>
    <s v="Fascia 1 (inferiore a 400 €)"/>
  </r>
  <r>
    <n v="354"/>
    <d v="2014-05-01T00:00:00"/>
    <s v="Bianchi"/>
    <s v="Sondrio"/>
    <x v="4"/>
    <n v="445"/>
    <n v="2"/>
    <x v="7"/>
    <s v="SO"/>
    <x v="0"/>
    <n v="87"/>
    <s v="Fascia 2 (da 400 €  a meno di 800 €)"/>
  </r>
  <r>
    <n v="355"/>
    <d v="2014-02-25T00:00:00"/>
    <s v="Rossi"/>
    <s v="Trapani"/>
    <x v="2"/>
    <n v="1028"/>
    <n v="4"/>
    <x v="9"/>
    <s v="TP"/>
    <x v="2"/>
    <n v="96"/>
    <s v="Fascia 3 (da 800 €  a meno di 1200 €)"/>
  </r>
  <r>
    <n v="356"/>
    <d v="2014-04-26T00:00:00"/>
    <s v="Azzurri"/>
    <s v="Pesaro e Urbino"/>
    <x v="3"/>
    <n v="893"/>
    <n v="4"/>
    <x v="10"/>
    <s v="PS"/>
    <x v="1"/>
    <n v="83"/>
    <s v="Fascia 3 (da 800 €  a meno di 1200 €)"/>
  </r>
  <r>
    <n v="357"/>
    <d v="2014-05-03T00:00:00"/>
    <s v="Neri"/>
    <s v="Rovigo"/>
    <x v="3"/>
    <n v="1421"/>
    <n v="1"/>
    <x v="6"/>
    <s v="RO"/>
    <x v="0"/>
    <n v="70"/>
    <s v="Fascia 4 (da 1200 €  a meno di 1500 €)"/>
  </r>
  <r>
    <n v="358"/>
    <d v="2014-06-10T00:00:00"/>
    <s v="Rossi"/>
    <s v="Sondrio"/>
    <x v="4"/>
    <n v="1941"/>
    <n v="2"/>
    <x v="7"/>
    <s v="SO"/>
    <x v="0"/>
    <n v="96"/>
    <s v="Fascia 5 (da 1500 € e oltre)"/>
  </r>
  <r>
    <n v="359"/>
    <d v="2014-02-04T00:00:00"/>
    <s v="Azzurri"/>
    <s v="Savona"/>
    <x v="3"/>
    <n v="1537"/>
    <n v="5"/>
    <x v="8"/>
    <s v="SV"/>
    <x v="0"/>
    <n v="83"/>
    <s v="Fascia 5 (da 1500 € e oltre)"/>
  </r>
  <r>
    <n v="360"/>
    <d v="2014-01-30T00:00:00"/>
    <s v="Verdi"/>
    <s v="Pesaro e Urbino"/>
    <x v="1"/>
    <n v="1957"/>
    <n v="3"/>
    <x v="10"/>
    <s v="PS"/>
    <x v="1"/>
    <n v="84"/>
    <s v="Fascia 5 (da 1500 € e oltre)"/>
  </r>
  <r>
    <n v="361"/>
    <d v="2014-05-29T00:00:00"/>
    <s v="Neri"/>
    <s v="Pesaro e Urbino"/>
    <x v="1"/>
    <n v="307"/>
    <n v="3"/>
    <x v="10"/>
    <s v="PS"/>
    <x v="1"/>
    <n v="70"/>
    <s v="Fascia 1 (inferiore a 400 €)"/>
  </r>
  <r>
    <n v="362"/>
    <d v="2014-04-17T00:00:00"/>
    <s v="Gialli"/>
    <s v="Siracusa"/>
    <x v="3"/>
    <n v="1128"/>
    <n v="3"/>
    <x v="9"/>
    <s v="SR"/>
    <x v="2"/>
    <n v="80"/>
    <s v="Fascia 3 (da 800 €  a meno di 1200 €)"/>
  </r>
  <r>
    <n v="363"/>
    <d v="2014-04-30T00:00:00"/>
    <s v="Gialli"/>
    <s v="Sassari"/>
    <x v="0"/>
    <n v="849"/>
    <n v="2"/>
    <x v="3"/>
    <s v="SS"/>
    <x v="2"/>
    <n v="80"/>
    <s v="Fascia 3 (da 800 €  a meno di 1200 €)"/>
  </r>
  <r>
    <n v="364"/>
    <d v="2014-06-29T00:00:00"/>
    <s v="Gialli"/>
    <s v="Varese"/>
    <x v="3"/>
    <n v="1252"/>
    <n v="1"/>
    <x v="7"/>
    <s v="VA"/>
    <x v="0"/>
    <n v="80"/>
    <s v="Fascia 4 (da 1200 €  a meno di 1500 €)"/>
  </r>
  <r>
    <n v="365"/>
    <d v="2014-05-06T00:00:00"/>
    <s v="Neri"/>
    <s v="Udine"/>
    <x v="4"/>
    <n v="1965"/>
    <n v="4"/>
    <x v="4"/>
    <s v="UD"/>
    <x v="0"/>
    <n v="70"/>
    <s v="Fascia 5 (da 1500 € e oltre)"/>
  </r>
  <r>
    <n v="366"/>
    <d v="2014-04-03T00:00:00"/>
    <s v="Rossi"/>
    <s v="Siena"/>
    <x v="3"/>
    <n v="667"/>
    <n v="5"/>
    <x v="1"/>
    <s v="SI"/>
    <x v="1"/>
    <n v="96"/>
    <s v="Fascia 2 (da 400 €  a meno di 800 €)"/>
  </r>
  <r>
    <n v="367"/>
    <d v="2014-02-22T00:00:00"/>
    <s v="Gialli"/>
    <s v="Viterbo"/>
    <x v="1"/>
    <n v="653"/>
    <n v="3"/>
    <x v="12"/>
    <s v="VT"/>
    <x v="1"/>
    <n v="80"/>
    <s v="Fascia 2 (da 400 €  a meno di 800 €)"/>
  </r>
  <r>
    <n v="368"/>
    <d v="2014-06-29T00:00:00"/>
    <s v="Bianchi"/>
    <s v="Roma"/>
    <x v="0"/>
    <n v="1602"/>
    <n v="4"/>
    <x v="12"/>
    <s v="RM"/>
    <x v="1"/>
    <n v="87"/>
    <s v="Fascia 5 (da 1500 € e oltre)"/>
  </r>
  <r>
    <n v="369"/>
    <d v="2014-06-23T00:00:00"/>
    <s v="Azzurri"/>
    <s v="Savona"/>
    <x v="0"/>
    <n v="1609"/>
    <n v="2"/>
    <x v="8"/>
    <s v="SV"/>
    <x v="0"/>
    <n v="83"/>
    <s v="Fascia 5 (da 1500 € e oltre)"/>
  </r>
  <r>
    <n v="370"/>
    <d v="2014-05-05T00:00:00"/>
    <s v="Azzurri"/>
    <s v="Pesaro e Urbino"/>
    <x v="4"/>
    <n v="1234"/>
    <n v="4"/>
    <x v="10"/>
    <s v="PS"/>
    <x v="1"/>
    <n v="83"/>
    <s v="Fascia 4 (da 1200 €  a meno di 1500 €)"/>
  </r>
  <r>
    <n v="371"/>
    <d v="2014-03-29T00:00:00"/>
    <s v="Bianchi"/>
    <s v="Terni"/>
    <x v="3"/>
    <n v="186"/>
    <n v="3"/>
    <x v="15"/>
    <s v="TR"/>
    <x v="1"/>
    <n v="87"/>
    <s v="Fascia 1 (inferiore a 400 €)"/>
  </r>
  <r>
    <n v="372"/>
    <d v="2014-05-03T00:00:00"/>
    <s v="Verdi"/>
    <s v="Pistoia"/>
    <x v="3"/>
    <n v="556"/>
    <n v="4"/>
    <x v="1"/>
    <s v="PT"/>
    <x v="1"/>
    <n v="84"/>
    <s v="Fascia 2 (da 400 €  a meno di 800 €)"/>
  </r>
  <r>
    <n v="373"/>
    <d v="2014-06-14T00:00:00"/>
    <s v="Rossi"/>
    <s v="Torino"/>
    <x v="2"/>
    <n v="408"/>
    <n v="5"/>
    <x v="2"/>
    <s v="TO"/>
    <x v="0"/>
    <n v="96"/>
    <s v="Fascia 2 (da 400 €  a meno di 800 €)"/>
  </r>
  <r>
    <n v="374"/>
    <d v="2014-03-08T00:00:00"/>
    <s v="Rossi"/>
    <s v="Vibo Valentia"/>
    <x v="0"/>
    <n v="754"/>
    <n v="3"/>
    <x v="14"/>
    <s v="VV"/>
    <x v="3"/>
    <n v="96"/>
    <s v="Fascia 2 (da 400 €  a meno di 800 €)"/>
  </r>
  <r>
    <n v="375"/>
    <d v="2014-01-06T00:00:00"/>
    <s v="Bianchi"/>
    <s v="Verbano-Cusio-Ossola"/>
    <x v="0"/>
    <n v="131"/>
    <n v="1"/>
    <x v="2"/>
    <s v="VB"/>
    <x v="0"/>
    <n v="87"/>
    <s v="Fascia 1 (inferiore a 400 €)"/>
  </r>
  <r>
    <n v="376"/>
    <d v="2014-02-22T00:00:00"/>
    <s v="Verdi"/>
    <s v="Sassari"/>
    <x v="4"/>
    <n v="1494"/>
    <n v="5"/>
    <x v="3"/>
    <s v="SS"/>
    <x v="2"/>
    <n v="84"/>
    <s v="Fascia 4 (da 1200 €  a meno di 1500 €)"/>
  </r>
  <r>
    <n v="377"/>
    <d v="2014-04-24T00:00:00"/>
    <s v="Rossi"/>
    <s v="Verbano-Cusio-Ossola"/>
    <x v="2"/>
    <n v="1960"/>
    <n v="5"/>
    <x v="2"/>
    <s v="VB"/>
    <x v="0"/>
    <n v="96"/>
    <s v="Fascia 5 (da 1500 € e oltre)"/>
  </r>
  <r>
    <n v="378"/>
    <d v="2014-02-19T00:00:00"/>
    <s v="Bianchi"/>
    <s v="Ragusa"/>
    <x v="2"/>
    <n v="1586"/>
    <n v="4"/>
    <x v="9"/>
    <s v="RG"/>
    <x v="2"/>
    <n v="87"/>
    <s v="Fascia 5 (da 1500 € e oltre)"/>
  </r>
  <r>
    <n v="379"/>
    <d v="2014-02-12T00:00:00"/>
    <s v="Azzurri"/>
    <s v="Pisa"/>
    <x v="3"/>
    <n v="255"/>
    <n v="1"/>
    <x v="1"/>
    <s v="PI"/>
    <x v="1"/>
    <n v="83"/>
    <s v="Fascia 1 (inferiore a 400 €)"/>
  </r>
  <r>
    <n v="380"/>
    <d v="2014-01-20T00:00:00"/>
    <s v="Gialli"/>
    <s v="Sondrio"/>
    <x v="4"/>
    <n v="1469"/>
    <n v="2"/>
    <x v="7"/>
    <s v="SO"/>
    <x v="0"/>
    <n v="80"/>
    <s v="Fascia 4 (da 1200 €  a meno di 1500 €)"/>
  </r>
  <r>
    <n v="381"/>
    <d v="2014-03-31T00:00:00"/>
    <s v="Azzurri"/>
    <s v="Pesaro e Urbino"/>
    <x v="2"/>
    <n v="1321"/>
    <n v="4"/>
    <x v="10"/>
    <s v="PS"/>
    <x v="1"/>
    <n v="83"/>
    <s v="Fascia 4 (da 1200 €  a meno di 1500 €)"/>
  </r>
  <r>
    <n v="382"/>
    <d v="2014-04-12T00:00:00"/>
    <s v="Bianchi"/>
    <s v="Treviso"/>
    <x v="4"/>
    <n v="735"/>
    <n v="2"/>
    <x v="6"/>
    <s v="TV"/>
    <x v="0"/>
    <n v="87"/>
    <s v="Fascia 2 (da 400 €  a meno di 800 €)"/>
  </r>
  <r>
    <n v="383"/>
    <d v="2014-04-03T00:00:00"/>
    <s v="Verdi"/>
    <s v="Siena"/>
    <x v="2"/>
    <n v="153"/>
    <n v="3"/>
    <x v="1"/>
    <s v="SI"/>
    <x v="1"/>
    <n v="84"/>
    <s v="Fascia 1 (inferiore a 400 €)"/>
  </r>
  <r>
    <n v="384"/>
    <d v="2014-03-29T00:00:00"/>
    <s v="Neri"/>
    <s v="Pistoia"/>
    <x v="4"/>
    <n v="1474"/>
    <n v="1"/>
    <x v="1"/>
    <s v="PT"/>
    <x v="1"/>
    <n v="70"/>
    <s v="Fascia 4 (da 1200 €  a meno di 1500 €)"/>
  </r>
  <r>
    <n v="385"/>
    <d v="2014-05-17T00:00:00"/>
    <s v="Bianchi"/>
    <s v="Rovigo"/>
    <x v="2"/>
    <n v="1108"/>
    <n v="2"/>
    <x v="6"/>
    <s v="RO"/>
    <x v="0"/>
    <n v="87"/>
    <s v="Fascia 3 (da 800 €  a meno di 1200 €)"/>
  </r>
  <r>
    <n v="386"/>
    <d v="2014-05-07T00:00:00"/>
    <s v="Verdi"/>
    <s v="Perugia"/>
    <x v="3"/>
    <n v="1430"/>
    <n v="4"/>
    <x v="15"/>
    <s v="PG"/>
    <x v="1"/>
    <n v="84"/>
    <s v="Fascia 4 (da 1200 €  a meno di 1500 €)"/>
  </r>
  <r>
    <n v="387"/>
    <d v="2014-02-10T00:00:00"/>
    <s v="Verdi"/>
    <s v="Roma"/>
    <x v="2"/>
    <n v="788"/>
    <n v="5"/>
    <x v="12"/>
    <s v="RM"/>
    <x v="1"/>
    <n v="84"/>
    <s v="Fascia 2 (da 400 €  a meno di 800 €)"/>
  </r>
  <r>
    <n v="388"/>
    <d v="2014-05-15T00:00:00"/>
    <s v="Verdi"/>
    <s v="Viterbo"/>
    <x v="2"/>
    <n v="1362"/>
    <n v="3"/>
    <x v="12"/>
    <s v="VT"/>
    <x v="1"/>
    <n v="84"/>
    <s v="Fascia 4 (da 1200 €  a meno di 1500 €)"/>
  </r>
  <r>
    <n v="389"/>
    <d v="2014-02-25T00:00:00"/>
    <s v="Neri"/>
    <s v="Vibo Valentia"/>
    <x v="1"/>
    <n v="744"/>
    <n v="3"/>
    <x v="14"/>
    <s v="VV"/>
    <x v="3"/>
    <n v="70"/>
    <s v="Fascia 2 (da 400 €  a meno di 800 €)"/>
  </r>
  <r>
    <n v="390"/>
    <d v="2014-05-16T00:00:00"/>
    <s v="Verdi"/>
    <s v="Venezia"/>
    <x v="1"/>
    <n v="1252"/>
    <n v="2"/>
    <x v="6"/>
    <s v="VE"/>
    <x v="0"/>
    <n v="84"/>
    <s v="Fascia 4 (da 1200 €  a meno di 1500 €)"/>
  </r>
  <r>
    <n v="391"/>
    <d v="2014-05-03T00:00:00"/>
    <s v="Verdi"/>
    <s v="Savona"/>
    <x v="2"/>
    <n v="1378"/>
    <n v="3"/>
    <x v="8"/>
    <s v="SV"/>
    <x v="0"/>
    <n v="84"/>
    <s v="Fascia 4 (da 1200 €  a meno di 1500 €)"/>
  </r>
  <r>
    <n v="392"/>
    <d v="2014-02-12T00:00:00"/>
    <s v="Rossi"/>
    <s v="Perugia"/>
    <x v="1"/>
    <n v="192"/>
    <n v="5"/>
    <x v="15"/>
    <s v="PG"/>
    <x v="1"/>
    <n v="96"/>
    <s v="Fascia 1 (inferiore a 400 €)"/>
  </r>
  <r>
    <n v="393"/>
    <d v="2014-06-24T00:00:00"/>
    <s v="Gialli"/>
    <s v="Sondrio"/>
    <x v="2"/>
    <n v="1876"/>
    <n v="2"/>
    <x v="7"/>
    <s v="SO"/>
    <x v="0"/>
    <n v="80"/>
    <s v="Fascia 5 (da 1500 € e oltre)"/>
  </r>
  <r>
    <n v="394"/>
    <d v="2014-04-22T00:00:00"/>
    <s v="Verdi"/>
    <s v="Reggio di Calabria"/>
    <x v="1"/>
    <n v="1640"/>
    <n v="1"/>
    <x v="14"/>
    <s v="RC"/>
    <x v="3"/>
    <n v="84"/>
    <s v="Fascia 5 (da 1500 € e oltre)"/>
  </r>
  <r>
    <n v="395"/>
    <d v="2014-02-16T00:00:00"/>
    <s v="Neri"/>
    <s v="Verbano-Cusio-Ossola"/>
    <x v="0"/>
    <n v="848"/>
    <n v="4"/>
    <x v="2"/>
    <s v="VB"/>
    <x v="0"/>
    <n v="70"/>
    <s v="Fascia 3 (da 800 €  a meno di 1200 €)"/>
  </r>
  <r>
    <n v="396"/>
    <d v="2014-01-12T00:00:00"/>
    <s v="Rossi"/>
    <s v="Venezia"/>
    <x v="1"/>
    <n v="692"/>
    <n v="1"/>
    <x v="6"/>
    <s v="VE"/>
    <x v="0"/>
    <n v="96"/>
    <s v="Fascia 2 (da 400 €  a meno di 800 €)"/>
  </r>
  <r>
    <n v="397"/>
    <d v="2014-01-07T00:00:00"/>
    <s v="Gialli"/>
    <s v="Prato"/>
    <x v="1"/>
    <n v="549"/>
    <n v="1"/>
    <x v="1"/>
    <s v="PO"/>
    <x v="1"/>
    <n v="80"/>
    <s v="Fascia 2 (da 400 €  a meno di 800 €)"/>
  </r>
  <r>
    <n v="398"/>
    <d v="2014-02-24T00:00:00"/>
    <s v="Verdi"/>
    <s v="Ravenna"/>
    <x v="2"/>
    <n v="1482"/>
    <n v="2"/>
    <x v="0"/>
    <s v="RA"/>
    <x v="0"/>
    <n v="84"/>
    <s v="Fascia 4 (da 1200 €  a meno di 1500 €)"/>
  </r>
  <r>
    <n v="399"/>
    <d v="2014-03-02T00:00:00"/>
    <s v="Rossi"/>
    <s v="Pisa"/>
    <x v="4"/>
    <n v="3"/>
    <n v="5"/>
    <x v="1"/>
    <s v="PI"/>
    <x v="1"/>
    <n v="96"/>
    <s v="Fascia 1 (inferiore a 400 €)"/>
  </r>
  <r>
    <n v="400"/>
    <d v="2014-04-19T00:00:00"/>
    <s v="Neri"/>
    <s v="Treviso"/>
    <x v="2"/>
    <n v="467"/>
    <n v="3"/>
    <x v="6"/>
    <s v="TV"/>
    <x v="0"/>
    <n v="70"/>
    <s v="Fascia 2 (da 400 €  a meno di 800 €)"/>
  </r>
  <r>
    <n v="401"/>
    <d v="2014-06-21T00:00:00"/>
    <s v="Rossi"/>
    <s v="Rimini"/>
    <x v="3"/>
    <n v="1746"/>
    <n v="3"/>
    <x v="0"/>
    <s v="RN"/>
    <x v="0"/>
    <n v="96"/>
    <s v="Fascia 5 (da 1500 € e oltre)"/>
  </r>
  <r>
    <n v="402"/>
    <d v="2014-01-10T00:00:00"/>
    <s v="Gialli"/>
    <s v="Rieti"/>
    <x v="3"/>
    <n v="681"/>
    <n v="4"/>
    <x v="12"/>
    <s v="RI"/>
    <x v="1"/>
    <n v="80"/>
    <s v="Fascia 2 (da 400 €  a meno di 800 €)"/>
  </r>
  <r>
    <n v="403"/>
    <d v="2014-03-27T00:00:00"/>
    <s v="Neri"/>
    <s v="Ravenna"/>
    <x v="4"/>
    <n v="136"/>
    <n v="3"/>
    <x v="0"/>
    <s v="RA"/>
    <x v="0"/>
    <n v="70"/>
    <s v="Fascia 1 (inferiore a 400 €)"/>
  </r>
  <r>
    <n v="404"/>
    <d v="2014-06-02T00:00:00"/>
    <s v="Verdi"/>
    <s v="Vibo Valentia"/>
    <x v="1"/>
    <n v="1600"/>
    <n v="3"/>
    <x v="14"/>
    <s v="VV"/>
    <x v="3"/>
    <n v="84"/>
    <s v="Fascia 5 (da 1500 € e oltre)"/>
  </r>
  <r>
    <n v="405"/>
    <d v="2014-03-23T00:00:00"/>
    <s v="Verdi"/>
    <s v="Viterbo"/>
    <x v="3"/>
    <n v="1825"/>
    <n v="5"/>
    <x v="12"/>
    <s v="VT"/>
    <x v="1"/>
    <n v="84"/>
    <s v="Fascia 5 (da 1500 € e oltre)"/>
  </r>
  <r>
    <n v="406"/>
    <d v="2014-04-01T00:00:00"/>
    <s v="Neri"/>
    <s v="Treviso"/>
    <x v="3"/>
    <n v="957"/>
    <n v="1"/>
    <x v="6"/>
    <s v="TV"/>
    <x v="0"/>
    <n v="70"/>
    <s v="Fascia 3 (da 800 €  a meno di 1200 €)"/>
  </r>
  <r>
    <n v="407"/>
    <d v="2014-06-23T00:00:00"/>
    <s v="Rossi"/>
    <s v="Savona"/>
    <x v="0"/>
    <n v="1941"/>
    <n v="5"/>
    <x v="8"/>
    <s v="SV"/>
    <x v="0"/>
    <n v="96"/>
    <s v="Fascia 5 (da 1500 € e oltre)"/>
  </r>
  <r>
    <n v="408"/>
    <d v="2014-04-12T00:00:00"/>
    <s v="Verdi"/>
    <s v="Teramo"/>
    <x v="2"/>
    <n v="417"/>
    <n v="1"/>
    <x v="16"/>
    <s v="TE"/>
    <x v="1"/>
    <n v="84"/>
    <s v="Fascia 2 (da 400 €  a meno di 800 €)"/>
  </r>
  <r>
    <n v="409"/>
    <d v="2014-02-25T00:00:00"/>
    <s v="Gialli"/>
    <s v="Vibo Valentia"/>
    <x v="0"/>
    <n v="1839"/>
    <n v="4"/>
    <x v="14"/>
    <s v="VV"/>
    <x v="3"/>
    <n v="80"/>
    <s v="Fascia 5 (da 1500 € e oltre)"/>
  </r>
  <r>
    <n v="410"/>
    <d v="2014-02-05T00:00:00"/>
    <s v="Bianchi"/>
    <s v="Udine"/>
    <x v="4"/>
    <n v="1647"/>
    <n v="1"/>
    <x v="4"/>
    <s v="UD"/>
    <x v="0"/>
    <n v="87"/>
    <s v="Fascia 5 (da 1500 € e oltre)"/>
  </r>
  <r>
    <n v="411"/>
    <d v="2014-03-13T00:00:00"/>
    <s v="Verdi"/>
    <s v="Ravenna"/>
    <x v="0"/>
    <n v="87"/>
    <n v="5"/>
    <x v="0"/>
    <s v="RA"/>
    <x v="0"/>
    <n v="84"/>
    <s v="Fascia 1 (inferiore a 400 €)"/>
  </r>
  <r>
    <n v="412"/>
    <d v="2014-03-22T00:00:00"/>
    <s v="Verdi"/>
    <s v="Pescara"/>
    <x v="1"/>
    <n v="1123"/>
    <n v="2"/>
    <x v="16"/>
    <s v="PE"/>
    <x v="1"/>
    <n v="84"/>
    <s v="Fascia 3 (da 800 €  a meno di 1200 €)"/>
  </r>
  <r>
    <n v="413"/>
    <d v="2014-01-15T00:00:00"/>
    <s v="Azzurri"/>
    <s v="Salerno"/>
    <x v="0"/>
    <n v="1881"/>
    <n v="1"/>
    <x v="13"/>
    <s v="SA"/>
    <x v="3"/>
    <n v="83"/>
    <s v="Fascia 5 (da 1500 € e oltre)"/>
  </r>
  <r>
    <n v="414"/>
    <d v="2014-03-09T00:00:00"/>
    <s v="Rossi"/>
    <s v="Pistoia"/>
    <x v="0"/>
    <n v="517"/>
    <n v="1"/>
    <x v="1"/>
    <s v="PT"/>
    <x v="1"/>
    <n v="96"/>
    <s v="Fascia 2 (da 400 €  a meno di 800 €)"/>
  </r>
  <r>
    <n v="415"/>
    <d v="2014-01-23T00:00:00"/>
    <s v="Neri"/>
    <s v="Siena"/>
    <x v="3"/>
    <n v="1662"/>
    <n v="3"/>
    <x v="1"/>
    <s v="SI"/>
    <x v="1"/>
    <n v="70"/>
    <s v="Fascia 5 (da 1500 € e oltre)"/>
  </r>
  <r>
    <n v="416"/>
    <d v="2014-03-26T00:00:00"/>
    <s v="Neri"/>
    <s v="Venezia"/>
    <x v="0"/>
    <n v="540"/>
    <n v="4"/>
    <x v="6"/>
    <s v="VE"/>
    <x v="0"/>
    <n v="70"/>
    <s v="Fascia 2 (da 400 €  a meno di 800 €)"/>
  </r>
  <r>
    <n v="417"/>
    <d v="2014-04-23T00:00:00"/>
    <s v="Bianchi"/>
    <s v="Reggio di Calabria"/>
    <x v="1"/>
    <n v="207"/>
    <n v="1"/>
    <x v="14"/>
    <s v="RC"/>
    <x v="3"/>
    <n v="87"/>
    <s v="Fascia 1 (inferiore a 400 €)"/>
  </r>
  <r>
    <n v="418"/>
    <d v="2014-02-15T00:00:00"/>
    <s v="Neri"/>
    <s v="Piacenza"/>
    <x v="3"/>
    <n v="879"/>
    <n v="2"/>
    <x v="0"/>
    <s v="PC"/>
    <x v="0"/>
    <n v="70"/>
    <s v="Fascia 3 (da 800 €  a meno di 1200 €)"/>
  </r>
  <r>
    <n v="419"/>
    <d v="2014-02-26T00:00:00"/>
    <s v="Verdi"/>
    <s v="Ragusa"/>
    <x v="0"/>
    <n v="1602"/>
    <n v="5"/>
    <x v="9"/>
    <s v="RG"/>
    <x v="2"/>
    <n v="84"/>
    <s v="Fascia 5 (da 1500 € e oltre)"/>
  </r>
  <r>
    <n v="420"/>
    <d v="2014-02-20T00:00:00"/>
    <s v="Rossi"/>
    <s v="Potenza"/>
    <x v="3"/>
    <n v="1061"/>
    <n v="1"/>
    <x v="5"/>
    <s v="PZ"/>
    <x v="3"/>
    <n v="96"/>
    <s v="Fascia 3 (da 800 €  a meno di 1200 €)"/>
  </r>
  <r>
    <n v="421"/>
    <d v="2014-03-16T00:00:00"/>
    <s v="Rossi"/>
    <s v="Pisa"/>
    <x v="4"/>
    <n v="569"/>
    <n v="1"/>
    <x v="1"/>
    <s v="PI"/>
    <x v="1"/>
    <n v="96"/>
    <s v="Fascia 2 (da 400 €  a meno di 800 €)"/>
  </r>
  <r>
    <n v="422"/>
    <d v="2014-06-03T00:00:00"/>
    <s v="Bianchi"/>
    <s v="Trapani"/>
    <x v="0"/>
    <n v="1479"/>
    <n v="3"/>
    <x v="9"/>
    <s v="TP"/>
    <x v="2"/>
    <n v="87"/>
    <s v="Fascia 4 (da 1200 €  a meno di 1500 €)"/>
  </r>
  <r>
    <n v="423"/>
    <d v="2014-04-22T00:00:00"/>
    <s v="Neri"/>
    <s v="Reggio di Calabria"/>
    <x v="2"/>
    <n v="1940"/>
    <n v="5"/>
    <x v="14"/>
    <s v="RC"/>
    <x v="3"/>
    <n v="70"/>
    <s v="Fascia 5 (da 1500 € e oltre)"/>
  </r>
  <r>
    <n v="424"/>
    <d v="2014-03-07T00:00:00"/>
    <s v="Verdi"/>
    <s v="Terni"/>
    <x v="3"/>
    <n v="1590"/>
    <n v="5"/>
    <x v="15"/>
    <s v="TR"/>
    <x v="1"/>
    <n v="84"/>
    <s v="Fascia 5 (da 1500 € e oltre)"/>
  </r>
  <r>
    <n v="425"/>
    <d v="2014-05-03T00:00:00"/>
    <s v="Neri"/>
    <s v="Pistoia"/>
    <x v="1"/>
    <n v="882"/>
    <n v="1"/>
    <x v="1"/>
    <s v="PT"/>
    <x v="1"/>
    <n v="70"/>
    <s v="Fascia 3 (da 800 €  a meno di 1200 €)"/>
  </r>
  <r>
    <n v="426"/>
    <d v="2014-01-21T00:00:00"/>
    <s v="Rossi"/>
    <s v="Taranto"/>
    <x v="1"/>
    <n v="593"/>
    <n v="2"/>
    <x v="17"/>
    <s v="TA"/>
    <x v="3"/>
    <n v="96"/>
    <s v="Fascia 2 (da 400 €  a meno di 800 €)"/>
  </r>
  <r>
    <n v="427"/>
    <d v="2014-06-24T00:00:00"/>
    <s v="Gialli"/>
    <s v="Piacenza"/>
    <x v="2"/>
    <n v="1853"/>
    <n v="1"/>
    <x v="0"/>
    <s v="PC"/>
    <x v="0"/>
    <n v="80"/>
    <s v="Fascia 5 (da 1500 € e oltre)"/>
  </r>
  <r>
    <n v="428"/>
    <d v="2014-01-01T00:00:00"/>
    <s v="Verdi"/>
    <s v="Pisa"/>
    <x v="0"/>
    <n v="1276"/>
    <n v="3"/>
    <x v="1"/>
    <s v="PI"/>
    <x v="1"/>
    <n v="84"/>
    <s v="Fascia 4 (da 1200 €  a meno di 1500 €)"/>
  </r>
  <r>
    <n v="429"/>
    <d v="2014-01-12T00:00:00"/>
    <s v="Bianchi"/>
    <s v="Perugia"/>
    <x v="3"/>
    <n v="563"/>
    <n v="1"/>
    <x v="15"/>
    <s v="PG"/>
    <x v="1"/>
    <n v="87"/>
    <s v="Fascia 2 (da 400 €  a meno di 800 €)"/>
  </r>
  <r>
    <n v="430"/>
    <d v="2014-02-07T00:00:00"/>
    <s v="Azzurri"/>
    <s v="Vibo Valentia"/>
    <x v="1"/>
    <n v="114"/>
    <n v="4"/>
    <x v="14"/>
    <s v="VV"/>
    <x v="3"/>
    <n v="83"/>
    <s v="Fascia 1 (inferiore a 400 €)"/>
  </r>
  <r>
    <n v="431"/>
    <d v="2014-01-23T00:00:00"/>
    <s v="Azzurri"/>
    <s v="Taranto"/>
    <x v="0"/>
    <n v="997"/>
    <n v="3"/>
    <x v="17"/>
    <s v="TA"/>
    <x v="3"/>
    <n v="83"/>
    <s v="Fascia 3 (da 800 €  a meno di 1200 €)"/>
  </r>
  <r>
    <n v="432"/>
    <d v="2014-05-12T00:00:00"/>
    <s v="Rossi"/>
    <s v="Siena"/>
    <x v="2"/>
    <n v="492"/>
    <n v="1"/>
    <x v="1"/>
    <s v="SI"/>
    <x v="1"/>
    <n v="96"/>
    <s v="Fascia 2 (da 400 €  a meno di 800 €)"/>
  </r>
  <r>
    <n v="433"/>
    <d v="2014-02-09T00:00:00"/>
    <s v="Gialli"/>
    <s v="Viterbo"/>
    <x v="4"/>
    <n v="1722"/>
    <n v="3"/>
    <x v="12"/>
    <s v="VT"/>
    <x v="1"/>
    <n v="80"/>
    <s v="Fascia 5 (da 1500 € e oltre)"/>
  </r>
  <r>
    <n v="434"/>
    <d v="2014-04-15T00:00:00"/>
    <s v="Rossi"/>
    <s v="Venezia"/>
    <x v="1"/>
    <n v="1314"/>
    <n v="5"/>
    <x v="6"/>
    <s v="VE"/>
    <x v="0"/>
    <n v="96"/>
    <s v="Fascia 4 (da 1200 €  a meno di 1500 €)"/>
  </r>
  <r>
    <n v="435"/>
    <d v="2014-02-11T00:00:00"/>
    <s v="Gialli"/>
    <s v="Rieti"/>
    <x v="2"/>
    <n v="702"/>
    <n v="2"/>
    <x v="12"/>
    <s v="RI"/>
    <x v="1"/>
    <n v="80"/>
    <s v="Fascia 2 (da 400 €  a meno di 800 €)"/>
  </r>
  <r>
    <n v="436"/>
    <d v="2014-06-28T00:00:00"/>
    <s v="Bianchi"/>
    <s v="Sassari"/>
    <x v="1"/>
    <n v="1090"/>
    <n v="2"/>
    <x v="3"/>
    <s v="SS"/>
    <x v="2"/>
    <n v="87"/>
    <s v="Fascia 3 (da 800 €  a meno di 1200 €)"/>
  </r>
  <r>
    <n v="437"/>
    <d v="2014-06-04T00:00:00"/>
    <s v="Azzurri"/>
    <s v="Siena"/>
    <x v="3"/>
    <n v="1552"/>
    <n v="5"/>
    <x v="1"/>
    <s v="SI"/>
    <x v="1"/>
    <n v="83"/>
    <s v="Fascia 5 (da 1500 € e oltre)"/>
  </r>
  <r>
    <n v="438"/>
    <d v="2014-03-25T00:00:00"/>
    <s v="Azzurri"/>
    <s v="Reggio di Calabria"/>
    <x v="1"/>
    <n v="1087"/>
    <n v="4"/>
    <x v="14"/>
    <s v="RC"/>
    <x v="3"/>
    <n v="83"/>
    <s v="Fascia 3 (da 800 €  a meno di 1200 €)"/>
  </r>
  <r>
    <n v="439"/>
    <d v="2014-04-26T00:00:00"/>
    <s v="Rossi"/>
    <s v="Potenza"/>
    <x v="2"/>
    <n v="665"/>
    <n v="4"/>
    <x v="5"/>
    <s v="PZ"/>
    <x v="3"/>
    <n v="96"/>
    <s v="Fascia 2 (da 400 €  a meno di 800 €)"/>
  </r>
  <r>
    <n v="440"/>
    <d v="2014-05-16T00:00:00"/>
    <s v="Azzurri"/>
    <s v="Verona"/>
    <x v="4"/>
    <n v="1247"/>
    <n v="5"/>
    <x v="6"/>
    <s v="VR"/>
    <x v="0"/>
    <n v="83"/>
    <s v="Fascia 4 (da 1200 €  a meno di 1500 €)"/>
  </r>
  <r>
    <n v="441"/>
    <d v="2014-06-28T00:00:00"/>
    <s v="Azzurri"/>
    <s v="Reggio nell'Emilia"/>
    <x v="0"/>
    <n v="1265"/>
    <n v="5"/>
    <x v="0"/>
    <s v="RE"/>
    <x v="0"/>
    <n v="83"/>
    <s v="Fascia 4 (da 1200 €  a meno di 1500 €)"/>
  </r>
  <r>
    <n v="442"/>
    <d v="2014-05-15T00:00:00"/>
    <s v="Verdi"/>
    <s v="Salerno"/>
    <x v="4"/>
    <n v="828"/>
    <n v="3"/>
    <x v="13"/>
    <s v="SA"/>
    <x v="3"/>
    <n v="84"/>
    <s v="Fascia 3 (da 800 €  a meno di 1200 €)"/>
  </r>
  <r>
    <n v="443"/>
    <d v="2014-02-28T00:00:00"/>
    <s v="Verdi"/>
    <s v="Teramo"/>
    <x v="4"/>
    <n v="1960"/>
    <n v="3"/>
    <x v="16"/>
    <s v="TE"/>
    <x v="1"/>
    <n v="84"/>
    <s v="Fascia 5 (da 1500 € e oltre)"/>
  </r>
  <r>
    <n v="444"/>
    <d v="2014-01-26T00:00:00"/>
    <s v="Gialli"/>
    <s v="Pavia"/>
    <x v="2"/>
    <n v="120"/>
    <n v="4"/>
    <x v="7"/>
    <s v="PV"/>
    <x v="0"/>
    <n v="80"/>
    <s v="Fascia 1 (inferiore a 400 €)"/>
  </r>
  <r>
    <n v="445"/>
    <d v="2014-05-11T00:00:00"/>
    <s v="Bianchi"/>
    <s v="Roma"/>
    <x v="2"/>
    <n v="1951"/>
    <n v="3"/>
    <x v="12"/>
    <s v="RM"/>
    <x v="1"/>
    <n v="87"/>
    <s v="Fascia 5 (da 1500 € e oltre)"/>
  </r>
  <r>
    <n v="446"/>
    <d v="2014-02-19T00:00:00"/>
    <s v="Azzurri"/>
    <s v="Pistoia"/>
    <x v="2"/>
    <n v="756"/>
    <n v="2"/>
    <x v="1"/>
    <s v="PT"/>
    <x v="1"/>
    <n v="83"/>
    <s v="Fascia 2 (da 400 €  a meno di 800 €)"/>
  </r>
  <r>
    <n v="447"/>
    <d v="2014-06-07T00:00:00"/>
    <s v="Rossi"/>
    <s v="Vibo Valentia"/>
    <x v="1"/>
    <n v="178"/>
    <n v="5"/>
    <x v="14"/>
    <s v="VV"/>
    <x v="3"/>
    <n v="96"/>
    <s v="Fascia 1 (inferiore a 400 €)"/>
  </r>
  <r>
    <n v="448"/>
    <d v="2014-03-30T00:00:00"/>
    <s v="Bianchi"/>
    <s v="Trapani"/>
    <x v="2"/>
    <n v="912"/>
    <n v="4"/>
    <x v="9"/>
    <s v="TP"/>
    <x v="2"/>
    <n v="87"/>
    <s v="Fascia 3 (da 800 €  a meno di 1200 €)"/>
  </r>
  <r>
    <n v="449"/>
    <d v="2014-05-02T00:00:00"/>
    <s v="Azzurri"/>
    <s v="Savona"/>
    <x v="2"/>
    <n v="216"/>
    <n v="1"/>
    <x v="8"/>
    <s v="SV"/>
    <x v="0"/>
    <n v="83"/>
    <s v="Fascia 1 (inferiore a 400 €)"/>
  </r>
  <r>
    <n v="450"/>
    <d v="2014-02-14T00:00:00"/>
    <s v="Azzurri"/>
    <s v="Venezia"/>
    <x v="1"/>
    <n v="647"/>
    <n v="2"/>
    <x v="6"/>
    <s v="VE"/>
    <x v="0"/>
    <n v="83"/>
    <s v="Fascia 2 (da 400 €  a meno di 800 €)"/>
  </r>
  <r>
    <n v="451"/>
    <d v="2014-04-13T00:00:00"/>
    <s v="Bianchi"/>
    <s v="Trapani"/>
    <x v="1"/>
    <n v="1101"/>
    <n v="2"/>
    <x v="9"/>
    <s v="TP"/>
    <x v="2"/>
    <n v="87"/>
    <s v="Fascia 3 (da 800 €  a meno di 1200 €)"/>
  </r>
  <r>
    <n v="452"/>
    <d v="2014-02-18T00:00:00"/>
    <s v="Bianchi"/>
    <s v="Perugia"/>
    <x v="0"/>
    <n v="426"/>
    <n v="2"/>
    <x v="15"/>
    <s v="PG"/>
    <x v="1"/>
    <n v="87"/>
    <s v="Fascia 2 (da 400 €  a meno di 800 €)"/>
  </r>
  <r>
    <n v="453"/>
    <d v="2014-03-06T00:00:00"/>
    <s v="Neri"/>
    <s v="Trapani"/>
    <x v="1"/>
    <n v="1476"/>
    <n v="1"/>
    <x v="9"/>
    <s v="TP"/>
    <x v="2"/>
    <n v="70"/>
    <s v="Fascia 4 (da 1200 €  a meno di 1500 €)"/>
  </r>
  <r>
    <n v="454"/>
    <d v="2014-03-17T00:00:00"/>
    <s v="Rossi"/>
    <s v="Rieti"/>
    <x v="1"/>
    <n v="1417"/>
    <n v="2"/>
    <x v="12"/>
    <s v="RI"/>
    <x v="1"/>
    <n v="96"/>
    <s v="Fascia 4 (da 1200 €  a meno di 1500 €)"/>
  </r>
  <r>
    <n v="455"/>
    <d v="2014-06-09T00:00:00"/>
    <s v="Azzurri"/>
    <s v="Salerno"/>
    <x v="0"/>
    <n v="1715"/>
    <n v="2"/>
    <x v="13"/>
    <s v="SA"/>
    <x v="3"/>
    <n v="83"/>
    <s v="Fascia 5 (da 1500 € e oltre)"/>
  </r>
  <r>
    <n v="456"/>
    <d v="2014-05-26T00:00:00"/>
    <s v="Bianchi"/>
    <s v="Siena"/>
    <x v="1"/>
    <n v="1289"/>
    <n v="4"/>
    <x v="1"/>
    <s v="SI"/>
    <x v="1"/>
    <n v="87"/>
    <s v="Fascia 4 (da 1200 €  a meno di 1500 €)"/>
  </r>
  <r>
    <n v="457"/>
    <d v="2014-03-06T00:00:00"/>
    <s v="Gialli"/>
    <s v="Pesaro e Urbino"/>
    <x v="2"/>
    <n v="1427"/>
    <n v="5"/>
    <x v="10"/>
    <s v="PS"/>
    <x v="1"/>
    <n v="80"/>
    <s v="Fascia 4 (da 1200 €  a meno di 1500 €)"/>
  </r>
  <r>
    <n v="458"/>
    <d v="2014-02-08T00:00:00"/>
    <s v="Gialli"/>
    <s v="Sondrio"/>
    <x v="3"/>
    <n v="445"/>
    <n v="5"/>
    <x v="7"/>
    <s v="SO"/>
    <x v="0"/>
    <n v="80"/>
    <s v="Fascia 2 (da 400 €  a meno di 800 €)"/>
  </r>
  <r>
    <n v="459"/>
    <d v="2014-05-17T00:00:00"/>
    <s v="Rossi"/>
    <s v="Rimini"/>
    <x v="0"/>
    <n v="1390"/>
    <n v="4"/>
    <x v="0"/>
    <s v="RN"/>
    <x v="0"/>
    <n v="96"/>
    <s v="Fascia 4 (da 1200 €  a meno di 1500 €)"/>
  </r>
  <r>
    <n v="460"/>
    <d v="2014-06-03T00:00:00"/>
    <s v="Verdi"/>
    <s v="Potenza"/>
    <x v="1"/>
    <n v="1897"/>
    <n v="3"/>
    <x v="5"/>
    <s v="PZ"/>
    <x v="3"/>
    <n v="84"/>
    <s v="Fascia 5 (da 1500 € e oltre)"/>
  </r>
  <r>
    <n v="461"/>
    <d v="2014-02-20T00:00:00"/>
    <s v="Neri"/>
    <s v="Torino"/>
    <x v="0"/>
    <n v="713"/>
    <n v="5"/>
    <x v="2"/>
    <s v="TO"/>
    <x v="0"/>
    <n v="70"/>
    <s v="Fascia 2 (da 400 €  a meno di 800 €)"/>
  </r>
  <r>
    <n v="462"/>
    <d v="2014-04-17T00:00:00"/>
    <s v="Neri"/>
    <s v="Terni"/>
    <x v="3"/>
    <n v="1509"/>
    <n v="2"/>
    <x v="15"/>
    <s v="TR"/>
    <x v="1"/>
    <n v="70"/>
    <s v="Fascia 5 (da 1500 € e oltre)"/>
  </r>
  <r>
    <n v="463"/>
    <d v="2014-01-24T00:00:00"/>
    <s v="Rossi"/>
    <s v="Sassari"/>
    <x v="2"/>
    <n v="210"/>
    <n v="4"/>
    <x v="3"/>
    <s v="SS"/>
    <x v="2"/>
    <n v="96"/>
    <s v="Fascia 1 (inferiore a 400 €)"/>
  </r>
  <r>
    <n v="464"/>
    <d v="2014-04-26T00:00:00"/>
    <s v="Bianchi"/>
    <s v="Pescara"/>
    <x v="3"/>
    <n v="660"/>
    <n v="3"/>
    <x v="16"/>
    <s v="PE"/>
    <x v="1"/>
    <n v="87"/>
    <s v="Fascia 2 (da 400 €  a meno di 800 €)"/>
  </r>
  <r>
    <n v="465"/>
    <d v="2014-06-07T00:00:00"/>
    <s v="Rossi"/>
    <s v="Perugia"/>
    <x v="2"/>
    <n v="872"/>
    <n v="2"/>
    <x v="15"/>
    <s v="PG"/>
    <x v="1"/>
    <n v="96"/>
    <s v="Fascia 3 (da 800 €  a meno di 1200 €)"/>
  </r>
  <r>
    <n v="466"/>
    <d v="2014-03-03T00:00:00"/>
    <s v="Rossi"/>
    <s v="Torino"/>
    <x v="3"/>
    <n v="1225"/>
    <n v="5"/>
    <x v="2"/>
    <s v="TO"/>
    <x v="0"/>
    <n v="96"/>
    <s v="Fascia 4 (da 1200 €  a meno di 1500 €)"/>
  </r>
  <r>
    <n v="467"/>
    <d v="2014-01-21T00:00:00"/>
    <s v="Verdi"/>
    <s v="Sassari"/>
    <x v="3"/>
    <n v="1916"/>
    <n v="5"/>
    <x v="3"/>
    <s v="SS"/>
    <x v="2"/>
    <n v="84"/>
    <s v="Fascia 5 (da 1500 € e oltre)"/>
  </r>
  <r>
    <n v="468"/>
    <d v="2014-06-12T00:00:00"/>
    <s v="Rossi"/>
    <s v="Verbano-Cusio-Ossola"/>
    <x v="3"/>
    <n v="1173"/>
    <n v="2"/>
    <x v="2"/>
    <s v="VB"/>
    <x v="0"/>
    <n v="96"/>
    <s v="Fascia 3 (da 800 €  a meno di 1200 €)"/>
  </r>
  <r>
    <n v="469"/>
    <d v="2014-04-25T00:00:00"/>
    <s v="Azzurri"/>
    <s v="Roma"/>
    <x v="0"/>
    <n v="297"/>
    <n v="3"/>
    <x v="12"/>
    <s v="RM"/>
    <x v="1"/>
    <n v="83"/>
    <s v="Fascia 1 (inferiore a 400 €)"/>
  </r>
  <r>
    <n v="470"/>
    <d v="2014-06-30T00:00:00"/>
    <s v="Bianchi"/>
    <s v="Viterbo"/>
    <x v="0"/>
    <n v="1244"/>
    <n v="5"/>
    <x v="12"/>
    <s v="VT"/>
    <x v="1"/>
    <n v="87"/>
    <s v="Fascia 4 (da 1200 €  a meno di 1500 €)"/>
  </r>
  <r>
    <n v="471"/>
    <d v="2014-02-06T00:00:00"/>
    <s v="Bianchi"/>
    <s v="Verbano-Cusio-Ossola"/>
    <x v="4"/>
    <n v="1099"/>
    <n v="4"/>
    <x v="2"/>
    <s v="VB"/>
    <x v="0"/>
    <n v="87"/>
    <s v="Fascia 3 (da 800 €  a meno di 1200 €)"/>
  </r>
  <r>
    <n v="472"/>
    <d v="2014-05-20T00:00:00"/>
    <s v="Verdi"/>
    <s v="Pordenone"/>
    <x v="4"/>
    <n v="1448"/>
    <n v="1"/>
    <x v="4"/>
    <s v="PN"/>
    <x v="0"/>
    <n v="84"/>
    <s v="Fascia 4 (da 1200 €  a meno di 1500 €)"/>
  </r>
  <r>
    <n v="473"/>
    <d v="2014-02-25T00:00:00"/>
    <s v="Azzurri"/>
    <s v="Ragusa"/>
    <x v="0"/>
    <n v="155"/>
    <n v="5"/>
    <x v="9"/>
    <s v="RG"/>
    <x v="2"/>
    <n v="83"/>
    <s v="Fascia 1 (inferiore a 400 €)"/>
  </r>
  <r>
    <n v="474"/>
    <d v="2014-02-27T00:00:00"/>
    <s v="Rossi"/>
    <s v="Verbano-Cusio-Ossola"/>
    <x v="3"/>
    <n v="214"/>
    <n v="2"/>
    <x v="2"/>
    <s v="VB"/>
    <x v="0"/>
    <n v="96"/>
    <s v="Fascia 1 (inferiore a 400 €)"/>
  </r>
  <r>
    <n v="475"/>
    <d v="2014-06-12T00:00:00"/>
    <s v="Azzurri"/>
    <s v="Trento"/>
    <x v="1"/>
    <n v="1956"/>
    <n v="1"/>
    <x v="11"/>
    <s v="TN"/>
    <x v="0"/>
    <n v="83"/>
    <s v="Fascia 5 (da 1500 € e oltre)"/>
  </r>
  <r>
    <n v="476"/>
    <d v="2014-01-20T00:00:00"/>
    <s v="Rossi"/>
    <s v="Torino"/>
    <x v="2"/>
    <n v="1938"/>
    <n v="3"/>
    <x v="2"/>
    <s v="TO"/>
    <x v="0"/>
    <n v="96"/>
    <s v="Fascia 5 (da 1500 € e oltre)"/>
  </r>
  <r>
    <n v="477"/>
    <d v="2014-05-04T00:00:00"/>
    <s v="Azzurri"/>
    <s v="Terni"/>
    <x v="4"/>
    <n v="336"/>
    <n v="5"/>
    <x v="15"/>
    <s v="TR"/>
    <x v="1"/>
    <n v="83"/>
    <s v="Fascia 1 (inferiore a 400 €)"/>
  </r>
  <r>
    <n v="478"/>
    <d v="2014-01-01T00:00:00"/>
    <s v="Neri"/>
    <s v="Teramo"/>
    <x v="4"/>
    <n v="1467"/>
    <n v="1"/>
    <x v="16"/>
    <s v="TE"/>
    <x v="1"/>
    <n v="70"/>
    <s v="Fascia 4 (da 1200 €  a meno di 1500 €)"/>
  </r>
  <r>
    <n v="479"/>
    <d v="2014-06-04T00:00:00"/>
    <s v="Gialli"/>
    <s v="Potenza"/>
    <x v="3"/>
    <n v="308"/>
    <n v="5"/>
    <x v="5"/>
    <s v="PZ"/>
    <x v="3"/>
    <n v="80"/>
    <s v="Fascia 1 (inferiore a 400 €)"/>
  </r>
  <r>
    <n v="480"/>
    <d v="2014-05-27T00:00:00"/>
    <s v="Azzurri"/>
    <s v="Trieste"/>
    <x v="0"/>
    <n v="1581"/>
    <n v="3"/>
    <x v="4"/>
    <s v="TS"/>
    <x v="0"/>
    <n v="83"/>
    <s v="Fascia 5 (da 1500 € e oltre)"/>
  </r>
  <r>
    <n v="481"/>
    <d v="2014-03-15T00:00:00"/>
    <s v="Bianchi"/>
    <s v="Vicenza"/>
    <x v="4"/>
    <n v="539"/>
    <n v="5"/>
    <x v="6"/>
    <s v="VI"/>
    <x v="0"/>
    <n v="87"/>
    <s v="Fascia 2 (da 400 €  a meno di 800 €)"/>
  </r>
  <r>
    <n v="482"/>
    <d v="2014-04-28T00:00:00"/>
    <s v="Rossi"/>
    <s v="Terni"/>
    <x v="4"/>
    <n v="1847"/>
    <n v="1"/>
    <x v="15"/>
    <s v="TR"/>
    <x v="1"/>
    <n v="96"/>
    <s v="Fascia 5 (da 1500 € e oltre)"/>
  </r>
  <r>
    <n v="483"/>
    <d v="2014-01-05T00:00:00"/>
    <s v="Gialli"/>
    <s v="Ravenna"/>
    <x v="2"/>
    <n v="495"/>
    <n v="3"/>
    <x v="0"/>
    <s v="RA"/>
    <x v="0"/>
    <n v="80"/>
    <s v="Fascia 2 (da 400 €  a meno di 800 €)"/>
  </r>
  <r>
    <n v="484"/>
    <d v="2014-01-11T00:00:00"/>
    <s v="Gialli"/>
    <s v="Siena"/>
    <x v="3"/>
    <n v="369"/>
    <n v="5"/>
    <x v="1"/>
    <s v="SI"/>
    <x v="1"/>
    <n v="80"/>
    <s v="Fascia 1 (inferiore a 400 €)"/>
  </r>
  <r>
    <n v="485"/>
    <d v="2014-05-24T00:00:00"/>
    <s v="Verdi"/>
    <s v="Verona"/>
    <x v="1"/>
    <n v="1963"/>
    <n v="3"/>
    <x v="6"/>
    <s v="VR"/>
    <x v="0"/>
    <n v="84"/>
    <s v="Fascia 5 (da 1500 € e oltre)"/>
  </r>
  <r>
    <n v="486"/>
    <d v="2014-05-28T00:00:00"/>
    <s v="Rossi"/>
    <s v="Salerno"/>
    <x v="2"/>
    <n v="1334"/>
    <n v="3"/>
    <x v="13"/>
    <s v="SA"/>
    <x v="3"/>
    <n v="96"/>
    <s v="Fascia 4 (da 1200 €  a meno di 1500 €)"/>
  </r>
  <r>
    <n v="487"/>
    <d v="2014-03-02T00:00:00"/>
    <s v="Rossi"/>
    <s v="Trieste"/>
    <x v="3"/>
    <n v="886"/>
    <n v="2"/>
    <x v="4"/>
    <s v="TS"/>
    <x v="0"/>
    <n v="96"/>
    <s v="Fascia 3 (da 800 €  a meno di 1200 €)"/>
  </r>
  <r>
    <n v="488"/>
    <d v="2014-02-20T00:00:00"/>
    <s v="Bianchi"/>
    <s v="Trento"/>
    <x v="0"/>
    <n v="689"/>
    <n v="3"/>
    <x v="11"/>
    <s v="TN"/>
    <x v="0"/>
    <n v="87"/>
    <s v="Fascia 2 (da 400 €  a meno di 800 €)"/>
  </r>
  <r>
    <n v="489"/>
    <d v="2014-05-01T00:00:00"/>
    <s v="Bianchi"/>
    <s v="Treviso"/>
    <x v="2"/>
    <n v="1880"/>
    <n v="1"/>
    <x v="6"/>
    <s v="TV"/>
    <x v="0"/>
    <n v="87"/>
    <s v="Fascia 5 (da 1500 € e oltre)"/>
  </r>
  <r>
    <n v="490"/>
    <d v="2014-01-28T00:00:00"/>
    <s v="Bianchi"/>
    <s v="Prato"/>
    <x v="2"/>
    <n v="1357"/>
    <n v="4"/>
    <x v="1"/>
    <s v="PO"/>
    <x v="1"/>
    <n v="87"/>
    <s v="Fascia 4 (da 1200 €  a meno di 1500 €)"/>
  </r>
  <r>
    <n v="491"/>
    <d v="2014-02-17T00:00:00"/>
    <s v="Azzurri"/>
    <s v="Rieti"/>
    <x v="0"/>
    <n v="1007"/>
    <n v="5"/>
    <x v="12"/>
    <s v="RI"/>
    <x v="1"/>
    <n v="83"/>
    <s v="Fascia 3 (da 800 €  a meno di 1200 €)"/>
  </r>
  <r>
    <n v="492"/>
    <d v="2014-02-14T00:00:00"/>
    <s v="Azzurri"/>
    <s v="Siracusa"/>
    <x v="2"/>
    <n v="1126"/>
    <n v="3"/>
    <x v="9"/>
    <s v="SR"/>
    <x v="2"/>
    <n v="83"/>
    <s v="Fascia 3 (da 800 €  a meno di 1200 €)"/>
  </r>
  <r>
    <n v="493"/>
    <d v="2014-02-17T00:00:00"/>
    <s v="Rossi"/>
    <s v="Rovigo"/>
    <x v="4"/>
    <n v="1779"/>
    <n v="1"/>
    <x v="6"/>
    <s v="RO"/>
    <x v="0"/>
    <n v="96"/>
    <s v="Fascia 5 (da 1500 € e oltre)"/>
  </r>
  <r>
    <n v="494"/>
    <d v="2014-02-28T00:00:00"/>
    <s v="Rossi"/>
    <s v="Roma"/>
    <x v="4"/>
    <n v="668"/>
    <n v="1"/>
    <x v="12"/>
    <s v="RM"/>
    <x v="1"/>
    <n v="96"/>
    <s v="Fascia 2 (da 400 €  a meno di 800 €)"/>
  </r>
  <r>
    <n v="495"/>
    <d v="2014-02-02T00:00:00"/>
    <s v="Azzurri"/>
    <s v="Trapani"/>
    <x v="1"/>
    <n v="204"/>
    <n v="1"/>
    <x v="9"/>
    <s v="TP"/>
    <x v="2"/>
    <n v="83"/>
    <s v="Fascia 1 (inferiore a 400 €)"/>
  </r>
  <r>
    <n v="496"/>
    <d v="2014-06-22T00:00:00"/>
    <s v="Gialli"/>
    <s v="Potenza"/>
    <x v="2"/>
    <n v="1517"/>
    <n v="5"/>
    <x v="5"/>
    <s v="PZ"/>
    <x v="3"/>
    <n v="80"/>
    <s v="Fascia 5 (da 1500 € e oltre)"/>
  </r>
  <r>
    <n v="497"/>
    <d v="2014-04-12T00:00:00"/>
    <s v="Gialli"/>
    <s v="Savona"/>
    <x v="1"/>
    <n v="840"/>
    <n v="1"/>
    <x v="8"/>
    <s v="SV"/>
    <x v="0"/>
    <n v="80"/>
    <s v="Fascia 3 (da 800 €  a meno di 1200 €)"/>
  </r>
  <r>
    <n v="498"/>
    <d v="2014-05-03T00:00:00"/>
    <s v="Bianchi"/>
    <s v="Ragusa"/>
    <x v="1"/>
    <n v="1724"/>
    <n v="1"/>
    <x v="9"/>
    <s v="RG"/>
    <x v="2"/>
    <n v="87"/>
    <s v="Fascia 5 (da 1500 € e oltre)"/>
  </r>
  <r>
    <n v="499"/>
    <d v="2014-02-21T00:00:00"/>
    <s v="Rossi"/>
    <s v="Vibo Valentia"/>
    <x v="1"/>
    <n v="951"/>
    <n v="3"/>
    <x v="14"/>
    <s v="VV"/>
    <x v="3"/>
    <n v="96"/>
    <s v="Fascia 3 (da 800 €  a meno di 1200 €)"/>
  </r>
  <r>
    <n v="500"/>
    <d v="2014-03-20T00:00:00"/>
    <s v="Verdi"/>
    <s v="Trapani"/>
    <x v="3"/>
    <n v="1892"/>
    <n v="4"/>
    <x v="9"/>
    <s v="TP"/>
    <x v="2"/>
    <n v="84"/>
    <s v="Fascia 5 (da 1500 € e oltre)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4-03-21T00:00:00"/>
    <s v="Neri"/>
    <s v="Piacenza"/>
    <s v="Libri"/>
    <n v="360"/>
    <n v="3"/>
    <s v="Emilia-Romagna"/>
    <s v="PC"/>
    <s v="NORD"/>
    <n v="70"/>
    <s v="Fascia 1 (inferiore a 400 €)"/>
    <x v="0"/>
  </r>
  <r>
    <n v="2"/>
    <d v="2014-03-16T00:00:00"/>
    <s v="Bianchi"/>
    <s v="Pistoia"/>
    <s v="Libri"/>
    <n v="1496"/>
    <n v="5"/>
    <s v="Toscana"/>
    <s v="PT"/>
    <s v="CENTRO"/>
    <n v="87"/>
    <s v="Fascia 4 (da 1200 €  a meno di 1500 €)"/>
    <x v="1"/>
  </r>
  <r>
    <n v="3"/>
    <d v="2014-02-24T00:00:00"/>
    <s v="Bianchi"/>
    <s v="Verbano-Cusio-Ossola"/>
    <s v="Informatica"/>
    <n v="1342"/>
    <n v="4"/>
    <s v="Piemonte"/>
    <s v="VB"/>
    <s v="NORD"/>
    <n v="87"/>
    <s v="Fascia 4 (da 1200 €  a meno di 1500 €)"/>
    <x v="2"/>
  </r>
  <r>
    <n v="4"/>
    <d v="2014-06-20T00:00:00"/>
    <s v="Azzurri"/>
    <s v="Ravenna"/>
    <s v="Art. Regalo"/>
    <n v="972"/>
    <n v="1"/>
    <s v="Emilia-Romagna"/>
    <s v="RA"/>
    <s v="NORD"/>
    <n v="83"/>
    <s v="Fascia 3 (da 800 €  a meno di 1200 €)"/>
    <x v="3"/>
  </r>
  <r>
    <n v="5"/>
    <d v="2014-01-24T00:00:00"/>
    <s v="Bianchi"/>
    <s v="Pisa"/>
    <s v="Informatica"/>
    <n v="348"/>
    <n v="2"/>
    <s v="Toscana"/>
    <s v="PI"/>
    <s v="CENTRO"/>
    <n v="87"/>
    <s v="Fascia 1 (inferiore a 400 €)"/>
    <x v="4"/>
  </r>
  <r>
    <n v="6"/>
    <d v="2014-03-03T00:00:00"/>
    <s v="Bianchi"/>
    <s v="Vercelli"/>
    <s v="Cancelleria"/>
    <n v="31"/>
    <n v="1"/>
    <s v="Piemonte"/>
    <s v="VC"/>
    <s v="NORD"/>
    <n v="87"/>
    <s v="Fascia 1 (inferiore a 400 €)"/>
    <x v="3"/>
  </r>
  <r>
    <n v="7"/>
    <d v="2014-04-09T00:00:00"/>
    <s v="Bianchi"/>
    <s v="Sassari"/>
    <s v="Art. Regalo"/>
    <n v="1087"/>
    <n v="4"/>
    <s v="Sardegna"/>
    <s v="SS"/>
    <s v="ISOLE"/>
    <n v="87"/>
    <s v="Fascia 3 (da 800 €  a meno di 1200 €)"/>
    <x v="2"/>
  </r>
  <r>
    <n v="8"/>
    <d v="2014-04-13T00:00:00"/>
    <s v="Azzurri"/>
    <s v="Sassari"/>
    <s v="Informatica"/>
    <n v="760"/>
    <n v="2"/>
    <s v="Sardegna"/>
    <s v="SS"/>
    <s v="ISOLE"/>
    <n v="83"/>
    <s v="Fascia 2 (da 400 €  a meno di 800 €)"/>
    <x v="4"/>
  </r>
  <r>
    <n v="9"/>
    <d v="2014-04-25T00:00:00"/>
    <s v="Azzurri"/>
    <s v="Pistoia"/>
    <s v="Informatica"/>
    <n v="10"/>
    <n v="5"/>
    <s v="Toscana"/>
    <s v="PT"/>
    <s v="CENTRO"/>
    <n v="83"/>
    <s v="Fascia 1 (inferiore a 400 €)"/>
    <x v="1"/>
  </r>
  <r>
    <n v="10"/>
    <d v="2014-03-24T00:00:00"/>
    <s v="Azzurri"/>
    <s v="Trieste"/>
    <s v="Libri"/>
    <n v="357"/>
    <n v="2"/>
    <s v="Friuli-Venezia Giulia"/>
    <s v="TS"/>
    <s v="NORD"/>
    <n v="83"/>
    <s v="Fascia 1 (inferiore a 400 €)"/>
    <x v="4"/>
  </r>
  <r>
    <n v="11"/>
    <d v="2014-05-25T00:00:00"/>
    <s v="Azzurri"/>
    <s v="Sassari"/>
    <s v="Informatica"/>
    <n v="19"/>
    <n v="1"/>
    <s v="Sardegna"/>
    <s v="SS"/>
    <s v="ISOLE"/>
    <n v="83"/>
    <s v="Fascia 1 (inferiore a 400 €)"/>
    <x v="3"/>
  </r>
  <r>
    <n v="12"/>
    <d v="2014-05-15T00:00:00"/>
    <s v="Rossi"/>
    <s v="Rimini"/>
    <s v="Cancelleria"/>
    <n v="20"/>
    <n v="1"/>
    <s v="Emilia-Romagna"/>
    <s v="RN"/>
    <s v="NORD"/>
    <n v="96"/>
    <s v="Fascia 1 (inferiore a 400 €)"/>
    <x v="3"/>
  </r>
  <r>
    <n v="13"/>
    <d v="2014-05-18T00:00:00"/>
    <s v="Azzurri"/>
    <s v="Siena"/>
    <s v="Libri"/>
    <n v="604"/>
    <n v="1"/>
    <s v="Toscana"/>
    <s v="SI"/>
    <s v="CENTRO"/>
    <n v="83"/>
    <s v="Fascia 2 (da 400 €  a meno di 800 €)"/>
    <x v="3"/>
  </r>
  <r>
    <n v="14"/>
    <d v="2014-01-02T00:00:00"/>
    <s v="Verdi"/>
    <s v="Potenza"/>
    <s v="Giocattoli"/>
    <n v="856"/>
    <n v="3"/>
    <s v="Basilicata"/>
    <s v="PZ"/>
    <s v="SUD"/>
    <n v="84"/>
    <s v="Fascia 3 (da 800 €  a meno di 1200 €)"/>
    <x v="0"/>
  </r>
  <r>
    <n v="15"/>
    <d v="2014-03-14T00:00:00"/>
    <s v="Bianchi"/>
    <s v="Reggio nell'Emilia"/>
    <s v="Giocattoli"/>
    <n v="833"/>
    <n v="3"/>
    <s v="Emilia-Romagna"/>
    <s v="RE"/>
    <s v="NORD"/>
    <n v="87"/>
    <s v="Fascia 3 (da 800 €  a meno di 1200 €)"/>
    <x v="0"/>
  </r>
  <r>
    <n v="16"/>
    <d v="2014-02-05T00:00:00"/>
    <s v="Verdi"/>
    <s v="Treviso"/>
    <s v="Art. Regalo"/>
    <n v="1782"/>
    <n v="2"/>
    <s v="Veneto"/>
    <s v="TV"/>
    <s v="NORD"/>
    <n v="84"/>
    <s v="Fascia 5 (da 1500 € e oltre)"/>
    <x v="4"/>
  </r>
  <r>
    <n v="17"/>
    <d v="2014-05-21T00:00:00"/>
    <s v="Bianchi"/>
    <s v="Pavia"/>
    <s v="Giocattoli"/>
    <n v="1428"/>
    <n v="5"/>
    <s v="Lombardia"/>
    <s v="PV"/>
    <s v="NORD"/>
    <n v="87"/>
    <s v="Fascia 4 (da 1200 €  a meno di 1500 €)"/>
    <x v="1"/>
  </r>
  <r>
    <n v="18"/>
    <d v="2014-03-22T00:00:00"/>
    <s v="Bianchi"/>
    <s v="Savona"/>
    <s v="Informatica"/>
    <n v="1677"/>
    <n v="5"/>
    <s v="Liguria"/>
    <s v="SV"/>
    <s v="NORD"/>
    <n v="87"/>
    <s v="Fascia 5 (da 1500 € e oltre)"/>
    <x v="1"/>
  </r>
  <r>
    <n v="19"/>
    <d v="2014-04-05T00:00:00"/>
    <s v="Gialli"/>
    <s v="Rimini"/>
    <s v="Art. Regalo"/>
    <n v="1514"/>
    <n v="2"/>
    <s v="Emilia-Romagna"/>
    <s v="RN"/>
    <s v="NORD"/>
    <n v="80"/>
    <s v="Fascia 5 (da 1500 € e oltre)"/>
    <x v="4"/>
  </r>
  <r>
    <n v="20"/>
    <d v="2014-04-11T00:00:00"/>
    <s v="Rossi"/>
    <s v="Venezia"/>
    <s v="Giocattoli"/>
    <n v="459"/>
    <n v="3"/>
    <s v="Veneto"/>
    <s v="VE"/>
    <s v="NORD"/>
    <n v="96"/>
    <s v="Fascia 2 (da 400 €  a meno di 800 €)"/>
    <x v="0"/>
  </r>
  <r>
    <n v="21"/>
    <d v="2014-01-03T00:00:00"/>
    <s v="Verdi"/>
    <s v="Vercelli"/>
    <s v="Cancelleria"/>
    <n v="344"/>
    <n v="2"/>
    <s v="Piemonte"/>
    <s v="VC"/>
    <s v="NORD"/>
    <n v="84"/>
    <s v="Fascia 1 (inferiore a 400 €)"/>
    <x v="4"/>
  </r>
  <r>
    <n v="22"/>
    <d v="2014-06-26T00:00:00"/>
    <s v="Neri"/>
    <s v="Verona"/>
    <s v="Giocattoli"/>
    <n v="10"/>
    <n v="4"/>
    <s v="Veneto"/>
    <s v="VR"/>
    <s v="NORD"/>
    <n v="70"/>
    <s v="Fascia 1 (inferiore a 400 €)"/>
    <x v="2"/>
  </r>
  <r>
    <n v="23"/>
    <d v="2014-05-22T00:00:00"/>
    <s v="Rossi"/>
    <s v="Rovigo"/>
    <s v="Informatica"/>
    <n v="1582"/>
    <n v="3"/>
    <s v="Veneto"/>
    <s v="RO"/>
    <s v="NORD"/>
    <n v="96"/>
    <s v="Fascia 5 (da 1500 € e oltre)"/>
    <x v="0"/>
  </r>
  <r>
    <n v="24"/>
    <d v="2014-02-24T00:00:00"/>
    <s v="Azzurri"/>
    <s v="Trapani"/>
    <s v="Giocattoli"/>
    <n v="1072"/>
    <n v="5"/>
    <s v="Sicilia"/>
    <s v="TP"/>
    <s v="ISOLE"/>
    <n v="83"/>
    <s v="Fascia 3 (da 800 €  a meno di 1200 €)"/>
    <x v="1"/>
  </r>
  <r>
    <n v="25"/>
    <d v="2014-04-11T00:00:00"/>
    <s v="Rossi"/>
    <s v="Sondrio"/>
    <s v="Giocattoli"/>
    <n v="1793"/>
    <n v="5"/>
    <s v="Lombardia"/>
    <s v="SO"/>
    <s v="NORD"/>
    <n v="96"/>
    <s v="Fascia 5 (da 1500 € e oltre)"/>
    <x v="1"/>
  </r>
  <r>
    <n v="26"/>
    <d v="2014-01-30T00:00:00"/>
    <s v="Neri"/>
    <s v="Rimini"/>
    <s v="Cancelleria"/>
    <n v="1039"/>
    <n v="1"/>
    <s v="Emilia-Romagna"/>
    <s v="RN"/>
    <s v="NORD"/>
    <n v="70"/>
    <s v="Fascia 3 (da 800 €  a meno di 1200 €)"/>
    <x v="3"/>
  </r>
  <r>
    <n v="27"/>
    <d v="2014-06-11T00:00:00"/>
    <s v="Neri"/>
    <s v="Vicenza"/>
    <s v="Art. Regalo"/>
    <n v="1114"/>
    <n v="5"/>
    <s v="Veneto"/>
    <s v="VI"/>
    <s v="NORD"/>
    <n v="70"/>
    <s v="Fascia 3 (da 800 €  a meno di 1200 €)"/>
    <x v="1"/>
  </r>
  <r>
    <n v="28"/>
    <d v="2014-03-30T00:00:00"/>
    <s v="Azzurri"/>
    <s v="Pistoia"/>
    <s v="Cancelleria"/>
    <n v="643"/>
    <n v="1"/>
    <s v="Toscana"/>
    <s v="PT"/>
    <s v="CENTRO"/>
    <n v="83"/>
    <s v="Fascia 2 (da 400 €  a meno di 800 €)"/>
    <x v="3"/>
  </r>
  <r>
    <n v="29"/>
    <d v="2014-05-27T00:00:00"/>
    <s v="Gialli"/>
    <s v="Reggio nell'Emilia"/>
    <s v="Cancelleria"/>
    <n v="328"/>
    <n v="4"/>
    <s v="Emilia-Romagna"/>
    <s v="RE"/>
    <s v="NORD"/>
    <n v="80"/>
    <s v="Fascia 1 (inferiore a 400 €)"/>
    <x v="2"/>
  </r>
  <r>
    <n v="30"/>
    <d v="2014-06-08T00:00:00"/>
    <s v="Bianchi"/>
    <s v="Pesaro e Urbino"/>
    <s v="Art. Regalo"/>
    <n v="95"/>
    <n v="3"/>
    <s v="Marche"/>
    <s v="PS"/>
    <s v="CENTRO"/>
    <n v="87"/>
    <s v="Fascia 1 (inferiore a 400 €)"/>
    <x v="0"/>
  </r>
  <r>
    <n v="31"/>
    <d v="2014-04-04T00:00:00"/>
    <s v="Bianchi"/>
    <s v="Treviso"/>
    <s v="Libri"/>
    <n v="270"/>
    <n v="5"/>
    <s v="Veneto"/>
    <s v="TV"/>
    <s v="NORD"/>
    <n v="87"/>
    <s v="Fascia 1 (inferiore a 400 €)"/>
    <x v="1"/>
  </r>
  <r>
    <n v="32"/>
    <d v="2014-05-07T00:00:00"/>
    <s v="Neri"/>
    <s v="Sassari"/>
    <s v="Art. Regalo"/>
    <n v="1640"/>
    <n v="5"/>
    <s v="Sardegna"/>
    <s v="SS"/>
    <s v="ISOLE"/>
    <n v="70"/>
    <s v="Fascia 5 (da 1500 € e oltre)"/>
    <x v="1"/>
  </r>
  <r>
    <n v="33"/>
    <d v="2014-01-23T00:00:00"/>
    <s v="Gialli"/>
    <s v="Trento"/>
    <s v="Cancelleria"/>
    <n v="759"/>
    <n v="2"/>
    <s v="Trentino-Alto Adige"/>
    <s v="TN"/>
    <s v="NORD"/>
    <n v="80"/>
    <s v="Fascia 2 (da 400 €  a meno di 800 €)"/>
    <x v="4"/>
  </r>
  <r>
    <n v="34"/>
    <d v="2014-05-24T00:00:00"/>
    <s v="Azzurri"/>
    <s v="Trapani"/>
    <s v="Informatica"/>
    <n v="1288"/>
    <n v="1"/>
    <s v="Sicilia"/>
    <s v="TP"/>
    <s v="ISOLE"/>
    <n v="83"/>
    <s v="Fascia 4 (da 1200 €  a meno di 1500 €)"/>
    <x v="3"/>
  </r>
  <r>
    <n v="35"/>
    <d v="2014-03-31T00:00:00"/>
    <s v="Azzurri"/>
    <s v="Viterbo"/>
    <s v="Libri"/>
    <n v="1857"/>
    <n v="3"/>
    <s v="Lazio"/>
    <s v="VT"/>
    <s v="CENTRO"/>
    <n v="83"/>
    <s v="Fascia 5 (da 1500 € e oltre)"/>
    <x v="0"/>
  </r>
  <r>
    <n v="36"/>
    <d v="2014-05-06T00:00:00"/>
    <s v="Gialli"/>
    <s v="Torino"/>
    <s v="Giocattoli"/>
    <n v="1558"/>
    <n v="3"/>
    <s v="Piemonte"/>
    <s v="TO"/>
    <s v="NORD"/>
    <n v="80"/>
    <s v="Fascia 5 (da 1500 € e oltre)"/>
    <x v="0"/>
  </r>
  <r>
    <n v="37"/>
    <d v="2014-03-13T00:00:00"/>
    <s v="Gialli"/>
    <s v="Potenza"/>
    <s v="Giocattoli"/>
    <n v="1879"/>
    <n v="3"/>
    <s v="Basilicata"/>
    <s v="PZ"/>
    <s v="SUD"/>
    <n v="80"/>
    <s v="Fascia 5 (da 1500 € e oltre)"/>
    <x v="0"/>
  </r>
  <r>
    <n v="38"/>
    <d v="2014-05-12T00:00:00"/>
    <s v="Neri"/>
    <s v="Salerno"/>
    <s v="Informatica"/>
    <n v="155"/>
    <n v="1"/>
    <s v="Campania"/>
    <s v="SA"/>
    <s v="SUD"/>
    <n v="70"/>
    <s v="Fascia 1 (inferiore a 400 €)"/>
    <x v="3"/>
  </r>
  <r>
    <n v="39"/>
    <d v="2014-03-19T00:00:00"/>
    <s v="Rossi"/>
    <s v="Sassari"/>
    <s v="Art. Regalo"/>
    <n v="1361"/>
    <n v="3"/>
    <s v="Sardegna"/>
    <s v="SS"/>
    <s v="ISOLE"/>
    <n v="96"/>
    <s v="Fascia 4 (da 1200 €  a meno di 1500 €)"/>
    <x v="0"/>
  </r>
  <r>
    <n v="40"/>
    <d v="2014-06-21T00:00:00"/>
    <s v="Neri"/>
    <s v="Vicenza"/>
    <s v="Libri"/>
    <n v="735"/>
    <n v="5"/>
    <s v="Veneto"/>
    <s v="VI"/>
    <s v="NORD"/>
    <n v="70"/>
    <s v="Fascia 2 (da 400 €  a meno di 800 €)"/>
    <x v="1"/>
  </r>
  <r>
    <n v="41"/>
    <d v="2014-05-18T00:00:00"/>
    <s v="Rossi"/>
    <s v="Pisa"/>
    <s v="Cancelleria"/>
    <n v="1916"/>
    <n v="3"/>
    <s v="Toscana"/>
    <s v="PI"/>
    <s v="CENTRO"/>
    <n v="96"/>
    <s v="Fascia 5 (da 1500 € e oltre)"/>
    <x v="0"/>
  </r>
  <r>
    <n v="42"/>
    <d v="2014-03-18T00:00:00"/>
    <s v="Bianchi"/>
    <s v="Vicenza"/>
    <s v="Libri"/>
    <n v="1747"/>
    <n v="5"/>
    <s v="Veneto"/>
    <s v="VI"/>
    <s v="NORD"/>
    <n v="87"/>
    <s v="Fascia 5 (da 1500 € e oltre)"/>
    <x v="1"/>
  </r>
  <r>
    <n v="43"/>
    <d v="2014-01-21T00:00:00"/>
    <s v="Rossi"/>
    <s v="Ragusa"/>
    <s v="Giocattoli"/>
    <n v="1313"/>
    <n v="4"/>
    <s v="Sicilia"/>
    <s v="RG"/>
    <s v="ISOLE"/>
    <n v="96"/>
    <s v="Fascia 4 (da 1200 €  a meno di 1500 €)"/>
    <x v="2"/>
  </r>
  <r>
    <n v="44"/>
    <d v="2014-03-14T00:00:00"/>
    <s v="Neri"/>
    <s v="Savona"/>
    <s v="Libri"/>
    <n v="1260"/>
    <n v="4"/>
    <s v="Liguria"/>
    <s v="SV"/>
    <s v="NORD"/>
    <n v="70"/>
    <s v="Fascia 4 (da 1200 €  a meno di 1500 €)"/>
    <x v="2"/>
  </r>
  <r>
    <n v="45"/>
    <d v="2014-05-28T00:00:00"/>
    <s v="Gialli"/>
    <s v="Reggio nell'Emilia"/>
    <s v="Cancelleria"/>
    <n v="1484"/>
    <n v="2"/>
    <s v="Emilia-Romagna"/>
    <s v="RE"/>
    <s v="NORD"/>
    <n v="80"/>
    <s v="Fascia 4 (da 1200 €  a meno di 1500 €)"/>
    <x v="4"/>
  </r>
  <r>
    <n v="46"/>
    <d v="2014-04-10T00:00:00"/>
    <s v="Gialli"/>
    <s v="Potenza"/>
    <s v="Art. Regalo"/>
    <n v="1887"/>
    <n v="5"/>
    <s v="Basilicata"/>
    <s v="PZ"/>
    <s v="SUD"/>
    <n v="80"/>
    <s v="Fascia 5 (da 1500 € e oltre)"/>
    <x v="1"/>
  </r>
  <r>
    <n v="47"/>
    <d v="2014-04-04T00:00:00"/>
    <s v="Azzurri"/>
    <s v="Vibo Valentia"/>
    <s v="Libri"/>
    <n v="1918"/>
    <n v="3"/>
    <s v="Calabria"/>
    <s v="VV"/>
    <s v="SUD"/>
    <n v="83"/>
    <s v="Fascia 5 (da 1500 € e oltre)"/>
    <x v="0"/>
  </r>
  <r>
    <n v="48"/>
    <d v="2014-06-08T00:00:00"/>
    <s v="Gialli"/>
    <s v="Verbano-Cusio-Ossola"/>
    <s v="Giocattoli"/>
    <n v="934"/>
    <n v="2"/>
    <s v="Piemonte"/>
    <s v="VB"/>
    <s v="NORD"/>
    <n v="80"/>
    <s v="Fascia 3 (da 800 €  a meno di 1200 €)"/>
    <x v="4"/>
  </r>
  <r>
    <n v="49"/>
    <d v="2014-03-01T00:00:00"/>
    <s v="Verdi"/>
    <s v="Venezia"/>
    <s v="Cancelleria"/>
    <n v="503"/>
    <n v="5"/>
    <s v="Veneto"/>
    <s v="VE"/>
    <s v="NORD"/>
    <n v="84"/>
    <s v="Fascia 2 (da 400 €  a meno di 800 €)"/>
    <x v="1"/>
  </r>
  <r>
    <n v="50"/>
    <d v="2014-02-24T00:00:00"/>
    <s v="Rossi"/>
    <s v="Viterbo"/>
    <s v="Libri"/>
    <n v="590"/>
    <n v="4"/>
    <s v="Lazio"/>
    <s v="VT"/>
    <s v="CENTRO"/>
    <n v="96"/>
    <s v="Fascia 2 (da 400 €  a meno di 800 €)"/>
    <x v="2"/>
  </r>
  <r>
    <n v="51"/>
    <d v="2014-04-21T00:00:00"/>
    <s v="Neri"/>
    <s v="Siena"/>
    <s v="Art. Regalo"/>
    <n v="1297"/>
    <n v="1"/>
    <s v="Toscana"/>
    <s v="SI"/>
    <s v="CENTRO"/>
    <n v="70"/>
    <s v="Fascia 4 (da 1200 €  a meno di 1500 €)"/>
    <x v="3"/>
  </r>
  <r>
    <n v="52"/>
    <d v="2014-04-13T00:00:00"/>
    <s v="Rossi"/>
    <s v="Terni"/>
    <s v="Cancelleria"/>
    <n v="67"/>
    <n v="2"/>
    <s v="Umbria"/>
    <s v="TR"/>
    <s v="CENTRO"/>
    <n v="96"/>
    <s v="Fascia 1 (inferiore a 400 €)"/>
    <x v="4"/>
  </r>
  <r>
    <n v="53"/>
    <d v="2014-02-11T00:00:00"/>
    <s v="Neri"/>
    <s v="Prato"/>
    <s v="Libri"/>
    <n v="1152"/>
    <n v="4"/>
    <s v="Toscana"/>
    <s v="PO"/>
    <s v="CENTRO"/>
    <n v="70"/>
    <s v="Fascia 3 (da 800 €  a meno di 1200 €)"/>
    <x v="2"/>
  </r>
  <r>
    <n v="54"/>
    <d v="2014-01-29T00:00:00"/>
    <s v="Verdi"/>
    <s v="Pavia"/>
    <s v="Cancelleria"/>
    <n v="401"/>
    <n v="2"/>
    <s v="Lombardia"/>
    <s v="PV"/>
    <s v="NORD"/>
    <n v="84"/>
    <s v="Fascia 2 (da 400 €  a meno di 800 €)"/>
    <x v="4"/>
  </r>
  <r>
    <n v="55"/>
    <d v="2014-03-23T00:00:00"/>
    <s v="Rossi"/>
    <s v="Reggio di Calabria"/>
    <s v="Libri"/>
    <n v="596"/>
    <n v="3"/>
    <s v="Calabria"/>
    <s v="RC"/>
    <s v="SUD"/>
    <n v="96"/>
    <s v="Fascia 2 (da 400 €  a meno di 800 €)"/>
    <x v="0"/>
  </r>
  <r>
    <n v="56"/>
    <d v="2014-06-06T00:00:00"/>
    <s v="Azzurri"/>
    <s v="Prato"/>
    <s v="Informatica"/>
    <n v="1724"/>
    <n v="4"/>
    <s v="Toscana"/>
    <s v="PO"/>
    <s v="CENTRO"/>
    <n v="83"/>
    <s v="Fascia 5 (da 1500 € e oltre)"/>
    <x v="2"/>
  </r>
  <r>
    <n v="57"/>
    <d v="2014-01-04T00:00:00"/>
    <s v="Gialli"/>
    <s v="Rimini"/>
    <s v="Informatica"/>
    <n v="721"/>
    <n v="3"/>
    <s v="Emilia-Romagna"/>
    <s v="RN"/>
    <s v="NORD"/>
    <n v="80"/>
    <s v="Fascia 2 (da 400 €  a meno di 800 €)"/>
    <x v="0"/>
  </r>
  <r>
    <n v="58"/>
    <d v="2014-06-15T00:00:00"/>
    <s v="Bianchi"/>
    <s v="Piacenza"/>
    <s v="Art. Regalo"/>
    <n v="939"/>
    <n v="3"/>
    <s v="Emilia-Romagna"/>
    <s v="PC"/>
    <s v="NORD"/>
    <n v="87"/>
    <s v="Fascia 3 (da 800 €  a meno di 1200 €)"/>
    <x v="0"/>
  </r>
  <r>
    <n v="59"/>
    <d v="2014-01-18T00:00:00"/>
    <s v="Rossi"/>
    <s v="Vercelli"/>
    <s v="Giocattoli"/>
    <n v="443"/>
    <n v="5"/>
    <s v="Piemonte"/>
    <s v="VC"/>
    <s v="NORD"/>
    <n v="96"/>
    <s v="Fascia 2 (da 400 €  a meno di 800 €)"/>
    <x v="1"/>
  </r>
  <r>
    <n v="60"/>
    <d v="2014-02-01T00:00:00"/>
    <s v="Bianchi"/>
    <s v="Reggio di Calabria"/>
    <s v="Giocattoli"/>
    <n v="986"/>
    <n v="5"/>
    <s v="Calabria"/>
    <s v="RC"/>
    <s v="SUD"/>
    <n v="87"/>
    <s v="Fascia 3 (da 800 €  a meno di 1200 €)"/>
    <x v="1"/>
  </r>
  <r>
    <n v="61"/>
    <d v="2014-04-15T00:00:00"/>
    <s v="Verdi"/>
    <s v="Reggio nell'Emilia"/>
    <s v="Cancelleria"/>
    <n v="90"/>
    <n v="1"/>
    <s v="Emilia-Romagna"/>
    <s v="RE"/>
    <s v="NORD"/>
    <n v="84"/>
    <s v="Fascia 1 (inferiore a 400 €)"/>
    <x v="3"/>
  </r>
  <r>
    <n v="62"/>
    <d v="2014-06-11T00:00:00"/>
    <s v="Neri"/>
    <s v="Viterbo"/>
    <s v="Cancelleria"/>
    <n v="32"/>
    <n v="5"/>
    <s v="Lazio"/>
    <s v="VT"/>
    <s v="CENTRO"/>
    <n v="70"/>
    <s v="Fascia 1 (inferiore a 400 €)"/>
    <x v="1"/>
  </r>
  <r>
    <n v="63"/>
    <d v="2014-04-16T00:00:00"/>
    <s v="Neri"/>
    <s v="Treviso"/>
    <s v="Giocattoli"/>
    <n v="968"/>
    <n v="1"/>
    <s v="Veneto"/>
    <s v="TV"/>
    <s v="NORD"/>
    <n v="70"/>
    <s v="Fascia 3 (da 800 €  a meno di 1200 €)"/>
    <x v="3"/>
  </r>
  <r>
    <n v="64"/>
    <d v="2014-02-04T00:00:00"/>
    <s v="Azzurri"/>
    <s v="Sondrio"/>
    <s v="Art. Regalo"/>
    <n v="772"/>
    <n v="2"/>
    <s v="Lombardia"/>
    <s v="SO"/>
    <s v="NORD"/>
    <n v="83"/>
    <s v="Fascia 2 (da 400 €  a meno di 800 €)"/>
    <x v="4"/>
  </r>
  <r>
    <n v="65"/>
    <d v="2014-03-26T00:00:00"/>
    <s v="Gialli"/>
    <s v="Trapani"/>
    <s v="Informatica"/>
    <n v="1838"/>
    <n v="3"/>
    <s v="Sicilia"/>
    <s v="TP"/>
    <s v="ISOLE"/>
    <n v="80"/>
    <s v="Fascia 5 (da 1500 € e oltre)"/>
    <x v="0"/>
  </r>
  <r>
    <n v="66"/>
    <d v="2014-06-26T00:00:00"/>
    <s v="Bianchi"/>
    <s v="Sondrio"/>
    <s v="Giocattoli"/>
    <n v="191"/>
    <n v="1"/>
    <s v="Lombardia"/>
    <s v="SO"/>
    <s v="NORD"/>
    <n v="87"/>
    <s v="Fascia 1 (inferiore a 400 €)"/>
    <x v="3"/>
  </r>
  <r>
    <n v="67"/>
    <d v="2014-03-02T00:00:00"/>
    <s v="Neri"/>
    <s v="Verbano-Cusio-Ossola"/>
    <s v="Art. Regalo"/>
    <n v="1334"/>
    <n v="1"/>
    <s v="Piemonte"/>
    <s v="VB"/>
    <s v="NORD"/>
    <n v="70"/>
    <s v="Fascia 4 (da 1200 €  a meno di 1500 €)"/>
    <x v="3"/>
  </r>
  <r>
    <n v="68"/>
    <d v="2014-01-20T00:00:00"/>
    <s v="Rossi"/>
    <s v="Torino"/>
    <s v="Informatica"/>
    <n v="1707"/>
    <n v="4"/>
    <s v="Piemonte"/>
    <s v="TO"/>
    <s v="NORD"/>
    <n v="96"/>
    <s v="Fascia 5 (da 1500 € e oltre)"/>
    <x v="2"/>
  </r>
  <r>
    <n v="69"/>
    <d v="2014-01-02T00:00:00"/>
    <s v="Rossi"/>
    <s v="Rimini"/>
    <s v="Libri"/>
    <n v="897"/>
    <n v="2"/>
    <s v="Emilia-Romagna"/>
    <s v="RN"/>
    <s v="NORD"/>
    <n v="96"/>
    <s v="Fascia 3 (da 800 €  a meno di 1200 €)"/>
    <x v="4"/>
  </r>
  <r>
    <n v="70"/>
    <d v="2014-06-02T00:00:00"/>
    <s v="Rossi"/>
    <s v="Teramo"/>
    <s v="Informatica"/>
    <n v="816"/>
    <n v="1"/>
    <s v="Abruzzo"/>
    <s v="TE"/>
    <s v="CENTRO"/>
    <n v="96"/>
    <s v="Fascia 3 (da 800 €  a meno di 1200 €)"/>
    <x v="3"/>
  </r>
  <r>
    <n v="71"/>
    <d v="2014-06-12T00:00:00"/>
    <s v="Bianchi"/>
    <s v="Vibo Valentia"/>
    <s v="Libri"/>
    <n v="1049"/>
    <n v="3"/>
    <s v="Calabria"/>
    <s v="VV"/>
    <s v="SUD"/>
    <n v="87"/>
    <s v="Fascia 3 (da 800 €  a meno di 1200 €)"/>
    <x v="0"/>
  </r>
  <r>
    <n v="72"/>
    <d v="2014-05-03T00:00:00"/>
    <s v="Rossi"/>
    <s v="Perugia"/>
    <s v="Libri"/>
    <n v="1037"/>
    <n v="4"/>
    <s v="Umbria"/>
    <s v="PG"/>
    <s v="CENTRO"/>
    <n v="96"/>
    <s v="Fascia 3 (da 800 €  a meno di 1200 €)"/>
    <x v="2"/>
  </r>
  <r>
    <n v="73"/>
    <d v="2014-04-09T00:00:00"/>
    <s v="Bianchi"/>
    <s v="Pordenone"/>
    <s v="Giocattoli"/>
    <n v="1235"/>
    <n v="3"/>
    <s v="Friuli-Venezia Giulia"/>
    <s v="PN"/>
    <s v="NORD"/>
    <n v="87"/>
    <s v="Fascia 4 (da 1200 €  a meno di 1500 €)"/>
    <x v="0"/>
  </r>
  <r>
    <n v="74"/>
    <d v="2014-03-22T00:00:00"/>
    <s v="Verdi"/>
    <s v="Udine"/>
    <s v="Cancelleria"/>
    <n v="294"/>
    <n v="3"/>
    <s v="Friuli-Venezia Giulia"/>
    <s v="UD"/>
    <s v="NORD"/>
    <n v="84"/>
    <s v="Fascia 1 (inferiore a 400 €)"/>
    <x v="0"/>
  </r>
  <r>
    <n v="75"/>
    <d v="2014-03-17T00:00:00"/>
    <s v="Gialli"/>
    <s v="Varese"/>
    <s v="Giocattoli"/>
    <n v="785"/>
    <n v="4"/>
    <s v="Lombardia"/>
    <s v="VA"/>
    <s v="NORD"/>
    <n v="80"/>
    <s v="Fascia 2 (da 400 €  a meno di 800 €)"/>
    <x v="2"/>
  </r>
  <r>
    <n v="76"/>
    <d v="2014-03-30T00:00:00"/>
    <s v="Bianchi"/>
    <s v="Pesaro e Urbino"/>
    <s v="Cancelleria"/>
    <n v="568"/>
    <n v="4"/>
    <s v="Marche"/>
    <s v="PS"/>
    <s v="CENTRO"/>
    <n v="87"/>
    <s v="Fascia 2 (da 400 €  a meno di 800 €)"/>
    <x v="2"/>
  </r>
  <r>
    <n v="77"/>
    <d v="2014-02-07T00:00:00"/>
    <s v="Bianchi"/>
    <s v="Torino"/>
    <s v="Art. Regalo"/>
    <n v="1932"/>
    <n v="3"/>
    <s v="Piemonte"/>
    <s v="TO"/>
    <s v="NORD"/>
    <n v="87"/>
    <s v="Fascia 5 (da 1500 € e oltre)"/>
    <x v="0"/>
  </r>
  <r>
    <n v="78"/>
    <d v="2014-02-07T00:00:00"/>
    <s v="Neri"/>
    <s v="Pistoia"/>
    <s v="Informatica"/>
    <n v="1124"/>
    <n v="4"/>
    <s v="Toscana"/>
    <s v="PT"/>
    <s v="CENTRO"/>
    <n v="70"/>
    <s v="Fascia 3 (da 800 €  a meno di 1200 €)"/>
    <x v="2"/>
  </r>
  <r>
    <n v="79"/>
    <d v="2014-06-22T00:00:00"/>
    <s v="Rossi"/>
    <s v="Sondrio"/>
    <s v="Cancelleria"/>
    <n v="920"/>
    <n v="1"/>
    <s v="Lombardia"/>
    <s v="SO"/>
    <s v="NORD"/>
    <n v="96"/>
    <s v="Fascia 3 (da 800 €  a meno di 1200 €)"/>
    <x v="3"/>
  </r>
  <r>
    <n v="80"/>
    <d v="2014-03-25T00:00:00"/>
    <s v="Neri"/>
    <s v="Pavia"/>
    <s v="Art. Regalo"/>
    <n v="44"/>
    <n v="1"/>
    <s v="Lombardia"/>
    <s v="PV"/>
    <s v="NORD"/>
    <n v="70"/>
    <s v="Fascia 1 (inferiore a 400 €)"/>
    <x v="3"/>
  </r>
  <r>
    <n v="81"/>
    <d v="2014-05-21T00:00:00"/>
    <s v="Neri"/>
    <s v="Piacenza"/>
    <s v="Art. Regalo"/>
    <n v="1261"/>
    <n v="1"/>
    <s v="Emilia-Romagna"/>
    <s v="PC"/>
    <s v="NORD"/>
    <n v="70"/>
    <s v="Fascia 4 (da 1200 €  a meno di 1500 €)"/>
    <x v="3"/>
  </r>
  <r>
    <n v="82"/>
    <d v="2014-01-22T00:00:00"/>
    <s v="Azzurri"/>
    <s v="Reggio nell'Emilia"/>
    <s v="Cancelleria"/>
    <n v="1283"/>
    <n v="4"/>
    <s v="Emilia-Romagna"/>
    <s v="RE"/>
    <s v="NORD"/>
    <n v="83"/>
    <s v="Fascia 4 (da 1200 €  a meno di 1500 €)"/>
    <x v="2"/>
  </r>
  <r>
    <n v="83"/>
    <d v="2014-03-23T00:00:00"/>
    <s v="Gialli"/>
    <s v="Roma"/>
    <s v="Informatica"/>
    <n v="311"/>
    <n v="2"/>
    <s v="Lazio"/>
    <s v="RM"/>
    <s v="CENTRO"/>
    <n v="80"/>
    <s v="Fascia 1 (inferiore a 400 €)"/>
    <x v="4"/>
  </r>
  <r>
    <n v="84"/>
    <d v="2014-05-12T00:00:00"/>
    <s v="Rossi"/>
    <s v="Siracusa"/>
    <s v="Informatica"/>
    <n v="1164"/>
    <n v="5"/>
    <s v="Sicilia"/>
    <s v="SR"/>
    <s v="ISOLE"/>
    <n v="96"/>
    <s v="Fascia 3 (da 800 €  a meno di 1200 €)"/>
    <x v="1"/>
  </r>
  <r>
    <n v="85"/>
    <d v="2014-04-14T00:00:00"/>
    <s v="Verdi"/>
    <s v="Reggio di Calabria"/>
    <s v="Libri"/>
    <n v="1129"/>
    <n v="3"/>
    <s v="Calabria"/>
    <s v="RC"/>
    <s v="SUD"/>
    <n v="84"/>
    <s v="Fascia 3 (da 800 €  a meno di 1200 €)"/>
    <x v="0"/>
  </r>
  <r>
    <n v="86"/>
    <d v="2014-02-13T00:00:00"/>
    <s v="Neri"/>
    <s v="Savona"/>
    <s v="Libri"/>
    <n v="1965"/>
    <n v="3"/>
    <s v="Liguria"/>
    <s v="SV"/>
    <s v="NORD"/>
    <n v="70"/>
    <s v="Fascia 5 (da 1500 € e oltre)"/>
    <x v="0"/>
  </r>
  <r>
    <n v="87"/>
    <d v="2014-04-20T00:00:00"/>
    <s v="Gialli"/>
    <s v="Verona"/>
    <s v="Informatica"/>
    <n v="1812"/>
    <n v="3"/>
    <s v="Veneto"/>
    <s v="VR"/>
    <s v="NORD"/>
    <n v="80"/>
    <s v="Fascia 5 (da 1500 € e oltre)"/>
    <x v="0"/>
  </r>
  <r>
    <n v="88"/>
    <d v="2014-02-11T00:00:00"/>
    <s v="Rossi"/>
    <s v="Reggio nell'Emilia"/>
    <s v="Cancelleria"/>
    <n v="1884"/>
    <n v="4"/>
    <s v="Emilia-Romagna"/>
    <s v="RE"/>
    <s v="NORD"/>
    <n v="96"/>
    <s v="Fascia 5 (da 1500 € e oltre)"/>
    <x v="2"/>
  </r>
  <r>
    <n v="89"/>
    <d v="2014-06-06T00:00:00"/>
    <s v="Gialli"/>
    <s v="Salerno"/>
    <s v="Art. Regalo"/>
    <n v="1812"/>
    <n v="4"/>
    <s v="Campania"/>
    <s v="SA"/>
    <s v="SUD"/>
    <n v="80"/>
    <s v="Fascia 5 (da 1500 € e oltre)"/>
    <x v="2"/>
  </r>
  <r>
    <n v="90"/>
    <d v="2014-01-07T00:00:00"/>
    <s v="Gialli"/>
    <s v="Pavia"/>
    <s v="Art. Regalo"/>
    <n v="76"/>
    <n v="3"/>
    <s v="Lombardia"/>
    <s v="PV"/>
    <s v="NORD"/>
    <n v="80"/>
    <s v="Fascia 1 (inferiore a 400 €)"/>
    <x v="0"/>
  </r>
  <r>
    <n v="91"/>
    <d v="2014-06-28T00:00:00"/>
    <s v="Verdi"/>
    <s v="Rieti"/>
    <s v="Art. Regalo"/>
    <n v="1827"/>
    <n v="3"/>
    <s v="Lazio"/>
    <s v="RI"/>
    <s v="CENTRO"/>
    <n v="84"/>
    <s v="Fascia 5 (da 1500 € e oltre)"/>
    <x v="0"/>
  </r>
  <r>
    <n v="92"/>
    <d v="2014-03-17T00:00:00"/>
    <s v="Rossi"/>
    <s v="Treviso"/>
    <s v="Libri"/>
    <n v="491"/>
    <n v="4"/>
    <s v="Veneto"/>
    <s v="TV"/>
    <s v="NORD"/>
    <n v="96"/>
    <s v="Fascia 2 (da 400 €  a meno di 800 €)"/>
    <x v="2"/>
  </r>
  <r>
    <n v="93"/>
    <d v="2014-01-12T00:00:00"/>
    <s v="Neri"/>
    <s v="Viterbo"/>
    <s v="Art. Regalo"/>
    <n v="1965"/>
    <n v="4"/>
    <s v="Lazio"/>
    <s v="VT"/>
    <s v="CENTRO"/>
    <n v="70"/>
    <s v="Fascia 5 (da 1500 € e oltre)"/>
    <x v="2"/>
  </r>
  <r>
    <n v="94"/>
    <d v="2014-02-04T00:00:00"/>
    <s v="Azzurri"/>
    <s v="Vibo Valentia"/>
    <s v="Art. Regalo"/>
    <n v="862"/>
    <n v="5"/>
    <s v="Calabria"/>
    <s v="VV"/>
    <s v="SUD"/>
    <n v="83"/>
    <s v="Fascia 3 (da 800 €  a meno di 1200 €)"/>
    <x v="1"/>
  </r>
  <r>
    <n v="95"/>
    <d v="2014-03-15T00:00:00"/>
    <s v="Bianchi"/>
    <s v="Verona"/>
    <s v="Giocattoli"/>
    <n v="403"/>
    <n v="3"/>
    <s v="Veneto"/>
    <s v="VR"/>
    <s v="NORD"/>
    <n v="87"/>
    <s v="Fascia 2 (da 400 €  a meno di 800 €)"/>
    <x v="0"/>
  </r>
  <r>
    <n v="96"/>
    <d v="2014-01-10T00:00:00"/>
    <s v="Rossi"/>
    <s v="Piacenza"/>
    <s v="Libri"/>
    <n v="217"/>
    <n v="1"/>
    <s v="Emilia-Romagna"/>
    <s v="PC"/>
    <s v="NORD"/>
    <n v="96"/>
    <s v="Fascia 1 (inferiore a 400 €)"/>
    <x v="3"/>
  </r>
  <r>
    <n v="97"/>
    <d v="2014-04-14T00:00:00"/>
    <s v="Verdi"/>
    <s v="Reggio di Calabria"/>
    <s v="Cancelleria"/>
    <n v="1450"/>
    <n v="4"/>
    <s v="Calabria"/>
    <s v="RC"/>
    <s v="SUD"/>
    <n v="84"/>
    <s v="Fascia 4 (da 1200 €  a meno di 1500 €)"/>
    <x v="2"/>
  </r>
  <r>
    <n v="98"/>
    <d v="2014-01-11T00:00:00"/>
    <s v="Neri"/>
    <s v="Pescara"/>
    <s v="Informatica"/>
    <n v="549"/>
    <n v="3"/>
    <s v="Abruzzo"/>
    <s v="PE"/>
    <s v="CENTRO"/>
    <n v="70"/>
    <s v="Fascia 2 (da 400 €  a meno di 800 €)"/>
    <x v="0"/>
  </r>
  <r>
    <n v="99"/>
    <d v="2014-03-26T00:00:00"/>
    <s v="Bianchi"/>
    <s v="Pisa"/>
    <s v="Cancelleria"/>
    <n v="1829"/>
    <n v="5"/>
    <s v="Toscana"/>
    <s v="PI"/>
    <s v="CENTRO"/>
    <n v="87"/>
    <s v="Fascia 5 (da 1500 € e oltre)"/>
    <x v="1"/>
  </r>
  <r>
    <n v="100"/>
    <d v="2014-05-19T00:00:00"/>
    <s v="Gialli"/>
    <s v="Pistoia"/>
    <s v="Informatica"/>
    <n v="411"/>
    <n v="1"/>
    <s v="Toscana"/>
    <s v="PT"/>
    <s v="CENTRO"/>
    <n v="80"/>
    <s v="Fascia 2 (da 400 €  a meno di 800 €)"/>
    <x v="3"/>
  </r>
  <r>
    <n v="101"/>
    <d v="2014-02-26T00:00:00"/>
    <s v="Azzurri"/>
    <s v="Terni"/>
    <s v="Giocattoli"/>
    <n v="146"/>
    <n v="1"/>
    <s v="Umbria"/>
    <s v="TR"/>
    <s v="CENTRO"/>
    <n v="83"/>
    <s v="Fascia 1 (inferiore a 400 €)"/>
    <x v="3"/>
  </r>
  <r>
    <n v="102"/>
    <d v="2014-01-02T00:00:00"/>
    <s v="Verdi"/>
    <s v="Salerno"/>
    <s v="Libri"/>
    <n v="1890"/>
    <n v="2"/>
    <s v="Campania"/>
    <s v="SA"/>
    <s v="SUD"/>
    <n v="84"/>
    <s v="Fascia 5 (da 1500 € e oltre)"/>
    <x v="4"/>
  </r>
  <r>
    <n v="103"/>
    <d v="2014-02-16T00:00:00"/>
    <s v="Rossi"/>
    <s v="Ravenna"/>
    <s v="Libri"/>
    <n v="826"/>
    <n v="5"/>
    <s v="Emilia-Romagna"/>
    <s v="RA"/>
    <s v="NORD"/>
    <n v="96"/>
    <s v="Fascia 3 (da 800 €  a meno di 1200 €)"/>
    <x v="1"/>
  </r>
  <r>
    <n v="104"/>
    <d v="2014-06-21T00:00:00"/>
    <s v="Neri"/>
    <s v="Pordenone"/>
    <s v="Informatica"/>
    <n v="1693"/>
    <n v="1"/>
    <s v="Friuli-Venezia Giulia"/>
    <s v="PN"/>
    <s v="NORD"/>
    <n v="70"/>
    <s v="Fascia 5 (da 1500 € e oltre)"/>
    <x v="3"/>
  </r>
  <r>
    <n v="105"/>
    <d v="2014-02-28T00:00:00"/>
    <s v="Bianchi"/>
    <s v="Prato"/>
    <s v="Libri"/>
    <n v="1710"/>
    <n v="2"/>
    <s v="Toscana"/>
    <s v="PO"/>
    <s v="CENTRO"/>
    <n v="87"/>
    <s v="Fascia 5 (da 1500 € e oltre)"/>
    <x v="4"/>
  </r>
  <r>
    <n v="106"/>
    <d v="2014-01-12T00:00:00"/>
    <s v="Azzurri"/>
    <s v="Pescara"/>
    <s v="Giocattoli"/>
    <n v="1921"/>
    <n v="5"/>
    <s v="Abruzzo"/>
    <s v="PE"/>
    <s v="CENTRO"/>
    <n v="83"/>
    <s v="Fascia 5 (da 1500 € e oltre)"/>
    <x v="1"/>
  </r>
  <r>
    <n v="107"/>
    <d v="2014-05-10T00:00:00"/>
    <s v="Azzurri"/>
    <s v="Ravenna"/>
    <s v="Informatica"/>
    <n v="1427"/>
    <n v="4"/>
    <s v="Emilia-Romagna"/>
    <s v="RA"/>
    <s v="NORD"/>
    <n v="83"/>
    <s v="Fascia 4 (da 1200 €  a meno di 1500 €)"/>
    <x v="2"/>
  </r>
  <r>
    <n v="108"/>
    <d v="2014-06-22T00:00:00"/>
    <s v="Gialli"/>
    <s v="Viterbo"/>
    <s v="Libri"/>
    <n v="1205"/>
    <n v="5"/>
    <s v="Lazio"/>
    <s v="VT"/>
    <s v="CENTRO"/>
    <n v="80"/>
    <s v="Fascia 4 (da 1200 €  a meno di 1500 €)"/>
    <x v="1"/>
  </r>
  <r>
    <n v="109"/>
    <d v="2014-01-07T00:00:00"/>
    <s v="Bianchi"/>
    <s v="Prato"/>
    <s v="Giocattoli"/>
    <n v="1697"/>
    <n v="1"/>
    <s v="Toscana"/>
    <s v="PO"/>
    <s v="CENTRO"/>
    <n v="87"/>
    <s v="Fascia 5 (da 1500 € e oltre)"/>
    <x v="3"/>
  </r>
  <r>
    <n v="110"/>
    <d v="2014-06-17T00:00:00"/>
    <s v="Rossi"/>
    <s v="Verona"/>
    <s v="Cancelleria"/>
    <n v="1576"/>
    <n v="5"/>
    <s v="Veneto"/>
    <s v="VR"/>
    <s v="NORD"/>
    <n v="96"/>
    <s v="Fascia 5 (da 1500 € e oltre)"/>
    <x v="1"/>
  </r>
  <r>
    <n v="111"/>
    <d v="2014-03-01T00:00:00"/>
    <s v="Gialli"/>
    <s v="Rimini"/>
    <s v="Art. Regalo"/>
    <n v="1520"/>
    <n v="5"/>
    <s v="Emilia-Romagna"/>
    <s v="RN"/>
    <s v="NORD"/>
    <n v="80"/>
    <s v="Fascia 5 (da 1500 € e oltre)"/>
    <x v="1"/>
  </r>
  <r>
    <n v="112"/>
    <d v="2014-02-10T00:00:00"/>
    <s v="Azzurri"/>
    <s v="Terni"/>
    <s v="Art. Regalo"/>
    <n v="115"/>
    <n v="1"/>
    <s v="Umbria"/>
    <s v="TR"/>
    <s v="CENTRO"/>
    <n v="83"/>
    <s v="Fascia 1 (inferiore a 400 €)"/>
    <x v="3"/>
  </r>
  <r>
    <n v="113"/>
    <d v="2014-06-28T00:00:00"/>
    <s v="Neri"/>
    <s v="Trapani"/>
    <s v="Cancelleria"/>
    <n v="898"/>
    <n v="2"/>
    <s v="Sicilia"/>
    <s v="TP"/>
    <s v="ISOLE"/>
    <n v="70"/>
    <s v="Fascia 3 (da 800 €  a meno di 1200 €)"/>
    <x v="4"/>
  </r>
  <r>
    <n v="114"/>
    <d v="2014-05-07T00:00:00"/>
    <s v="Azzurri"/>
    <s v="Terni"/>
    <s v="Cancelleria"/>
    <n v="1505"/>
    <n v="2"/>
    <s v="Umbria"/>
    <s v="TR"/>
    <s v="CENTRO"/>
    <n v="83"/>
    <s v="Fascia 5 (da 1500 € e oltre)"/>
    <x v="4"/>
  </r>
  <r>
    <n v="115"/>
    <d v="2014-01-11T00:00:00"/>
    <s v="Gialli"/>
    <s v="Trieste"/>
    <s v="Art. Regalo"/>
    <n v="977"/>
    <n v="5"/>
    <s v="Friuli-Venezia Giulia"/>
    <s v="TS"/>
    <s v="NORD"/>
    <n v="80"/>
    <s v="Fascia 3 (da 800 €  a meno di 1200 €)"/>
    <x v="1"/>
  </r>
  <r>
    <n v="116"/>
    <d v="2014-03-28T00:00:00"/>
    <s v="Bianchi"/>
    <s v="Rieti"/>
    <s v="Art. Regalo"/>
    <n v="724"/>
    <n v="1"/>
    <s v="Lazio"/>
    <s v="RI"/>
    <s v="CENTRO"/>
    <n v="87"/>
    <s v="Fascia 2 (da 400 €  a meno di 800 €)"/>
    <x v="3"/>
  </r>
  <r>
    <n v="117"/>
    <d v="2014-04-09T00:00:00"/>
    <s v="Neri"/>
    <s v="Pistoia"/>
    <s v="Informatica"/>
    <n v="760"/>
    <n v="5"/>
    <s v="Toscana"/>
    <s v="PT"/>
    <s v="CENTRO"/>
    <n v="70"/>
    <s v="Fascia 2 (da 400 €  a meno di 800 €)"/>
    <x v="1"/>
  </r>
  <r>
    <n v="118"/>
    <d v="2014-06-03T00:00:00"/>
    <s v="Bianchi"/>
    <s v="Pavia"/>
    <s v="Giocattoli"/>
    <n v="403"/>
    <n v="4"/>
    <s v="Lombardia"/>
    <s v="PV"/>
    <s v="NORD"/>
    <n v="87"/>
    <s v="Fascia 2 (da 400 €  a meno di 800 €)"/>
    <x v="2"/>
  </r>
  <r>
    <n v="119"/>
    <d v="2014-01-14T00:00:00"/>
    <s v="Neri"/>
    <s v="Salerno"/>
    <s v="Art. Regalo"/>
    <n v="805"/>
    <n v="1"/>
    <s v="Campania"/>
    <s v="SA"/>
    <s v="SUD"/>
    <n v="70"/>
    <s v="Fascia 3 (da 800 €  a meno di 1200 €)"/>
    <x v="3"/>
  </r>
  <r>
    <n v="120"/>
    <d v="2014-06-02T00:00:00"/>
    <s v="Neri"/>
    <s v="Siena"/>
    <s v="Giocattoli"/>
    <n v="1908"/>
    <n v="5"/>
    <s v="Toscana"/>
    <s v="SI"/>
    <s v="CENTRO"/>
    <n v="70"/>
    <s v="Fascia 5 (da 1500 € e oltre)"/>
    <x v="1"/>
  </r>
  <r>
    <n v="121"/>
    <d v="2014-03-15T00:00:00"/>
    <s v="Verdi"/>
    <s v="Salerno"/>
    <s v="Libri"/>
    <n v="913"/>
    <n v="3"/>
    <s v="Campania"/>
    <s v="SA"/>
    <s v="SUD"/>
    <n v="84"/>
    <s v="Fascia 3 (da 800 €  a meno di 1200 €)"/>
    <x v="0"/>
  </r>
  <r>
    <n v="122"/>
    <d v="2014-04-02T00:00:00"/>
    <s v="Azzurri"/>
    <s v="Vercelli"/>
    <s v="Art. Regalo"/>
    <n v="1977"/>
    <n v="2"/>
    <s v="Piemonte"/>
    <s v="VC"/>
    <s v="NORD"/>
    <n v="83"/>
    <s v="Fascia 5 (da 1500 € e oltre)"/>
    <x v="4"/>
  </r>
  <r>
    <n v="123"/>
    <d v="2014-04-26T00:00:00"/>
    <s v="Rossi"/>
    <s v="Rimini"/>
    <s v="Informatica"/>
    <n v="1018"/>
    <n v="2"/>
    <s v="Emilia-Romagna"/>
    <s v="RN"/>
    <s v="NORD"/>
    <n v="96"/>
    <s v="Fascia 3 (da 800 €  a meno di 1200 €)"/>
    <x v="4"/>
  </r>
  <r>
    <n v="124"/>
    <d v="2014-02-28T00:00:00"/>
    <s v="Gialli"/>
    <s v="Venezia"/>
    <s v="Art. Regalo"/>
    <n v="1658"/>
    <n v="2"/>
    <s v="Veneto"/>
    <s v="VE"/>
    <s v="NORD"/>
    <n v="80"/>
    <s v="Fascia 5 (da 1500 € e oltre)"/>
    <x v="4"/>
  </r>
  <r>
    <n v="125"/>
    <d v="2014-05-19T00:00:00"/>
    <s v="Azzurri"/>
    <s v="Prato"/>
    <s v="Giocattoli"/>
    <n v="833"/>
    <n v="5"/>
    <s v="Toscana"/>
    <s v="PO"/>
    <s v="CENTRO"/>
    <n v="83"/>
    <s v="Fascia 3 (da 800 €  a meno di 1200 €)"/>
    <x v="1"/>
  </r>
  <r>
    <n v="126"/>
    <d v="2014-02-08T00:00:00"/>
    <s v="Azzurri"/>
    <s v="Vicenza"/>
    <s v="Libri"/>
    <n v="718"/>
    <n v="5"/>
    <s v="Veneto"/>
    <s v="VI"/>
    <s v="NORD"/>
    <n v="83"/>
    <s v="Fascia 2 (da 400 €  a meno di 800 €)"/>
    <x v="1"/>
  </r>
  <r>
    <n v="127"/>
    <d v="2014-06-04T00:00:00"/>
    <s v="Azzurri"/>
    <s v="Verbano-Cusio-Ossola"/>
    <s v="Libri"/>
    <n v="515"/>
    <n v="3"/>
    <s v="Piemonte"/>
    <s v="VB"/>
    <s v="NORD"/>
    <n v="83"/>
    <s v="Fascia 2 (da 400 €  a meno di 800 €)"/>
    <x v="0"/>
  </r>
  <r>
    <n v="128"/>
    <d v="2014-02-07T00:00:00"/>
    <s v="Verdi"/>
    <s v="Viterbo"/>
    <s v="Giocattoli"/>
    <n v="259"/>
    <n v="3"/>
    <s v="Lazio"/>
    <s v="VT"/>
    <s v="CENTRO"/>
    <n v="84"/>
    <s v="Fascia 1 (inferiore a 400 €)"/>
    <x v="0"/>
  </r>
  <r>
    <n v="129"/>
    <d v="2014-05-16T00:00:00"/>
    <s v="Azzurri"/>
    <s v="Prato"/>
    <s v="Art. Regalo"/>
    <n v="660"/>
    <n v="4"/>
    <s v="Toscana"/>
    <s v="PO"/>
    <s v="CENTRO"/>
    <n v="83"/>
    <s v="Fascia 2 (da 400 €  a meno di 800 €)"/>
    <x v="2"/>
  </r>
  <r>
    <n v="130"/>
    <d v="2014-06-10T00:00:00"/>
    <s v="Rossi"/>
    <s v="Udine"/>
    <s v="Cancelleria"/>
    <n v="31"/>
    <n v="2"/>
    <s v="Friuli-Venezia Giulia"/>
    <s v="UD"/>
    <s v="NORD"/>
    <n v="96"/>
    <s v="Fascia 1 (inferiore a 400 €)"/>
    <x v="4"/>
  </r>
  <r>
    <n v="131"/>
    <d v="2014-02-25T00:00:00"/>
    <s v="Bianchi"/>
    <s v="Venezia"/>
    <s v="Giocattoli"/>
    <n v="1889"/>
    <n v="4"/>
    <s v="Veneto"/>
    <s v="VE"/>
    <s v="NORD"/>
    <n v="87"/>
    <s v="Fascia 5 (da 1500 € e oltre)"/>
    <x v="2"/>
  </r>
  <r>
    <n v="132"/>
    <d v="2014-05-24T00:00:00"/>
    <s v="Azzurri"/>
    <s v="Roma"/>
    <s v="Cancelleria"/>
    <n v="1163"/>
    <n v="1"/>
    <s v="Lazio"/>
    <s v="RM"/>
    <s v="CENTRO"/>
    <n v="83"/>
    <s v="Fascia 3 (da 800 €  a meno di 1200 €)"/>
    <x v="3"/>
  </r>
  <r>
    <n v="133"/>
    <d v="2014-06-08T00:00:00"/>
    <s v="Gialli"/>
    <s v="Rimini"/>
    <s v="Libri"/>
    <n v="1896"/>
    <n v="1"/>
    <s v="Emilia-Romagna"/>
    <s v="RN"/>
    <s v="NORD"/>
    <n v="80"/>
    <s v="Fascia 5 (da 1500 € e oltre)"/>
    <x v="3"/>
  </r>
  <r>
    <n v="134"/>
    <d v="2014-06-17T00:00:00"/>
    <s v="Bianchi"/>
    <s v="Viterbo"/>
    <s v="Art. Regalo"/>
    <n v="175"/>
    <n v="1"/>
    <s v="Lazio"/>
    <s v="VT"/>
    <s v="CENTRO"/>
    <n v="87"/>
    <s v="Fascia 1 (inferiore a 400 €)"/>
    <x v="3"/>
  </r>
  <r>
    <n v="135"/>
    <d v="2014-02-24T00:00:00"/>
    <s v="Azzurri"/>
    <s v="Udine"/>
    <s v="Informatica"/>
    <n v="806"/>
    <n v="5"/>
    <s v="Friuli-Venezia Giulia"/>
    <s v="UD"/>
    <s v="NORD"/>
    <n v="83"/>
    <s v="Fascia 3 (da 800 €  a meno di 1200 €)"/>
    <x v="1"/>
  </r>
  <r>
    <n v="136"/>
    <d v="2014-06-29T00:00:00"/>
    <s v="Rossi"/>
    <s v="Perugia"/>
    <s v="Art. Regalo"/>
    <n v="992"/>
    <n v="3"/>
    <s v="Umbria"/>
    <s v="PG"/>
    <s v="CENTRO"/>
    <n v="96"/>
    <s v="Fascia 3 (da 800 €  a meno di 1200 €)"/>
    <x v="0"/>
  </r>
  <r>
    <n v="137"/>
    <d v="2014-01-08T00:00:00"/>
    <s v="Verdi"/>
    <s v="Verona"/>
    <s v="Cancelleria"/>
    <n v="885"/>
    <n v="2"/>
    <s v="Veneto"/>
    <s v="VR"/>
    <s v="NORD"/>
    <n v="84"/>
    <s v="Fascia 3 (da 800 €  a meno di 1200 €)"/>
    <x v="4"/>
  </r>
  <r>
    <n v="138"/>
    <d v="2014-02-11T00:00:00"/>
    <s v="Bianchi"/>
    <s v="Taranto"/>
    <s v="Informatica"/>
    <n v="502"/>
    <n v="2"/>
    <s v="Puglia"/>
    <s v="TA"/>
    <s v="SUD"/>
    <n v="87"/>
    <s v="Fascia 2 (da 400 €  a meno di 800 €)"/>
    <x v="4"/>
  </r>
  <r>
    <n v="139"/>
    <d v="2014-06-06T00:00:00"/>
    <s v="Neri"/>
    <s v="Salerno"/>
    <s v="Giocattoli"/>
    <n v="71"/>
    <n v="3"/>
    <s v="Campania"/>
    <s v="SA"/>
    <s v="SUD"/>
    <n v="70"/>
    <s v="Fascia 1 (inferiore a 400 €)"/>
    <x v="0"/>
  </r>
  <r>
    <n v="140"/>
    <d v="2014-01-10T00:00:00"/>
    <s v="Verdi"/>
    <s v="Sondrio"/>
    <s v="Libri"/>
    <n v="411"/>
    <n v="4"/>
    <s v="Lombardia"/>
    <s v="SO"/>
    <s v="NORD"/>
    <n v="84"/>
    <s v="Fascia 2 (da 400 €  a meno di 800 €)"/>
    <x v="2"/>
  </r>
  <r>
    <n v="141"/>
    <d v="2014-05-31T00:00:00"/>
    <s v="Bianchi"/>
    <s v="Sassari"/>
    <s v="Libri"/>
    <n v="1343"/>
    <n v="2"/>
    <s v="Sardegna"/>
    <s v="SS"/>
    <s v="ISOLE"/>
    <n v="87"/>
    <s v="Fascia 4 (da 1200 €  a meno di 1500 €)"/>
    <x v="4"/>
  </r>
  <r>
    <n v="142"/>
    <d v="2014-05-26T00:00:00"/>
    <s v="Bianchi"/>
    <s v="Teramo"/>
    <s v="Libri"/>
    <n v="1052"/>
    <n v="4"/>
    <s v="Abruzzo"/>
    <s v="TE"/>
    <s v="CENTRO"/>
    <n v="87"/>
    <s v="Fascia 3 (da 800 €  a meno di 1200 €)"/>
    <x v="2"/>
  </r>
  <r>
    <n v="143"/>
    <d v="2014-03-04T00:00:00"/>
    <s v="Neri"/>
    <s v="Vicenza"/>
    <s v="Informatica"/>
    <n v="993"/>
    <n v="4"/>
    <s v="Veneto"/>
    <s v="VI"/>
    <s v="NORD"/>
    <n v="70"/>
    <s v="Fascia 3 (da 800 €  a meno di 1200 €)"/>
    <x v="2"/>
  </r>
  <r>
    <n v="144"/>
    <d v="2014-06-26T00:00:00"/>
    <s v="Azzurri"/>
    <s v="Verona"/>
    <s v="Cancelleria"/>
    <n v="1404"/>
    <n v="3"/>
    <s v="Veneto"/>
    <s v="VR"/>
    <s v="NORD"/>
    <n v="83"/>
    <s v="Fascia 4 (da 1200 €  a meno di 1500 €)"/>
    <x v="0"/>
  </r>
  <r>
    <n v="145"/>
    <d v="2014-06-28T00:00:00"/>
    <s v="Verdi"/>
    <s v="Roma"/>
    <s v="Informatica"/>
    <n v="436"/>
    <n v="1"/>
    <s v="Lazio"/>
    <s v="RM"/>
    <s v="CENTRO"/>
    <n v="84"/>
    <s v="Fascia 2 (da 400 €  a meno di 800 €)"/>
    <x v="3"/>
  </r>
  <r>
    <n v="146"/>
    <d v="2014-03-03T00:00:00"/>
    <s v="Verdi"/>
    <s v="Trieste"/>
    <s v="Cancelleria"/>
    <n v="771"/>
    <n v="2"/>
    <s v="Friuli-Venezia Giulia"/>
    <s v="TS"/>
    <s v="NORD"/>
    <n v="84"/>
    <s v="Fascia 2 (da 400 €  a meno di 800 €)"/>
    <x v="4"/>
  </r>
  <r>
    <n v="147"/>
    <d v="2014-05-03T00:00:00"/>
    <s v="Gialli"/>
    <s v="Pordenone"/>
    <s v="Libri"/>
    <n v="503"/>
    <n v="5"/>
    <s v="Friuli-Venezia Giulia"/>
    <s v="PN"/>
    <s v="NORD"/>
    <n v="80"/>
    <s v="Fascia 2 (da 400 €  a meno di 800 €)"/>
    <x v="1"/>
  </r>
  <r>
    <n v="148"/>
    <d v="2014-03-27T00:00:00"/>
    <s v="Bianchi"/>
    <s v="Reggio nell'Emilia"/>
    <s v="Informatica"/>
    <n v="1906"/>
    <n v="1"/>
    <s v="Emilia-Romagna"/>
    <s v="RE"/>
    <s v="NORD"/>
    <n v="87"/>
    <s v="Fascia 5 (da 1500 € e oltre)"/>
    <x v="3"/>
  </r>
  <r>
    <n v="149"/>
    <d v="2014-04-10T00:00:00"/>
    <s v="Verdi"/>
    <s v="Trapani"/>
    <s v="Informatica"/>
    <n v="1213"/>
    <n v="3"/>
    <s v="Sicilia"/>
    <s v="TP"/>
    <s v="ISOLE"/>
    <n v="84"/>
    <s v="Fascia 4 (da 1200 €  a meno di 1500 €)"/>
    <x v="0"/>
  </r>
  <r>
    <n v="150"/>
    <d v="2014-02-11T00:00:00"/>
    <s v="Azzurri"/>
    <s v="Siena"/>
    <s v="Libri"/>
    <n v="1215"/>
    <n v="2"/>
    <s v="Toscana"/>
    <s v="SI"/>
    <s v="CENTRO"/>
    <n v="83"/>
    <s v="Fascia 4 (da 1200 €  a meno di 1500 €)"/>
    <x v="4"/>
  </r>
  <r>
    <n v="151"/>
    <d v="2014-06-29T00:00:00"/>
    <s v="Bianchi"/>
    <s v="Verona"/>
    <s v="Art. Regalo"/>
    <n v="1186"/>
    <n v="1"/>
    <s v="Veneto"/>
    <s v="VR"/>
    <s v="NORD"/>
    <n v="87"/>
    <s v="Fascia 3 (da 800 €  a meno di 1200 €)"/>
    <x v="3"/>
  </r>
  <r>
    <n v="152"/>
    <d v="2014-03-28T00:00:00"/>
    <s v="Neri"/>
    <s v="Ragusa"/>
    <s v="Informatica"/>
    <n v="1616"/>
    <n v="2"/>
    <s v="Sicilia"/>
    <s v="RG"/>
    <s v="ISOLE"/>
    <n v="70"/>
    <s v="Fascia 5 (da 1500 € e oltre)"/>
    <x v="4"/>
  </r>
  <r>
    <n v="153"/>
    <d v="2014-04-05T00:00:00"/>
    <s v="Bianchi"/>
    <s v="Sondrio"/>
    <s v="Cancelleria"/>
    <n v="1614"/>
    <n v="3"/>
    <s v="Lombardia"/>
    <s v="SO"/>
    <s v="NORD"/>
    <n v="87"/>
    <s v="Fascia 5 (da 1500 € e oltre)"/>
    <x v="0"/>
  </r>
  <r>
    <n v="154"/>
    <d v="2014-01-13T00:00:00"/>
    <s v="Gialli"/>
    <s v="Savona"/>
    <s v="Informatica"/>
    <n v="744"/>
    <n v="5"/>
    <s v="Liguria"/>
    <s v="SV"/>
    <s v="NORD"/>
    <n v="80"/>
    <s v="Fascia 2 (da 400 €  a meno di 800 €)"/>
    <x v="1"/>
  </r>
  <r>
    <n v="155"/>
    <d v="2014-05-03T00:00:00"/>
    <s v="Bianchi"/>
    <s v="Varese"/>
    <s v="Art. Regalo"/>
    <n v="1277"/>
    <n v="1"/>
    <s v="Lombardia"/>
    <s v="VA"/>
    <s v="NORD"/>
    <n v="87"/>
    <s v="Fascia 4 (da 1200 €  a meno di 1500 €)"/>
    <x v="3"/>
  </r>
  <r>
    <n v="156"/>
    <d v="2014-05-22T00:00:00"/>
    <s v="Gialli"/>
    <s v="Ragusa"/>
    <s v="Cancelleria"/>
    <n v="1520"/>
    <n v="3"/>
    <s v="Sicilia"/>
    <s v="RG"/>
    <s v="ISOLE"/>
    <n v="80"/>
    <s v="Fascia 5 (da 1500 € e oltre)"/>
    <x v="0"/>
  </r>
  <r>
    <n v="157"/>
    <d v="2014-01-17T00:00:00"/>
    <s v="Bianchi"/>
    <s v="Treviso"/>
    <s v="Cancelleria"/>
    <n v="254"/>
    <n v="2"/>
    <s v="Veneto"/>
    <s v="TV"/>
    <s v="NORD"/>
    <n v="87"/>
    <s v="Fascia 1 (inferiore a 400 €)"/>
    <x v="4"/>
  </r>
  <r>
    <n v="158"/>
    <d v="2014-05-13T00:00:00"/>
    <s v="Neri"/>
    <s v="Salerno"/>
    <s v="Giocattoli"/>
    <n v="253"/>
    <n v="3"/>
    <s v="Campania"/>
    <s v="SA"/>
    <s v="SUD"/>
    <n v="70"/>
    <s v="Fascia 1 (inferiore a 400 €)"/>
    <x v="0"/>
  </r>
  <r>
    <n v="159"/>
    <d v="2014-06-10T00:00:00"/>
    <s v="Rossi"/>
    <s v="Pistoia"/>
    <s v="Giocattoli"/>
    <n v="1802"/>
    <n v="3"/>
    <s v="Toscana"/>
    <s v="PT"/>
    <s v="CENTRO"/>
    <n v="96"/>
    <s v="Fascia 5 (da 1500 € e oltre)"/>
    <x v="0"/>
  </r>
  <r>
    <n v="160"/>
    <d v="2014-01-11T00:00:00"/>
    <s v="Verdi"/>
    <s v="Vercelli"/>
    <s v="Libri"/>
    <n v="580"/>
    <n v="5"/>
    <s v="Piemonte"/>
    <s v="VC"/>
    <s v="NORD"/>
    <n v="84"/>
    <s v="Fascia 2 (da 400 €  a meno di 800 €)"/>
    <x v="1"/>
  </r>
  <r>
    <n v="161"/>
    <d v="2014-05-19T00:00:00"/>
    <s v="Neri"/>
    <s v="Pordenone"/>
    <s v="Cancelleria"/>
    <n v="938"/>
    <n v="5"/>
    <s v="Friuli-Venezia Giulia"/>
    <s v="PN"/>
    <s v="NORD"/>
    <n v="70"/>
    <s v="Fascia 3 (da 800 €  a meno di 1200 €)"/>
    <x v="1"/>
  </r>
  <r>
    <n v="162"/>
    <d v="2014-02-12T00:00:00"/>
    <s v="Gialli"/>
    <s v="Piacenza"/>
    <s v="Informatica"/>
    <n v="1390"/>
    <n v="4"/>
    <s v="Emilia-Romagna"/>
    <s v="PC"/>
    <s v="NORD"/>
    <n v="80"/>
    <s v="Fascia 4 (da 1200 €  a meno di 1500 €)"/>
    <x v="2"/>
  </r>
  <r>
    <n v="163"/>
    <d v="2014-04-24T00:00:00"/>
    <s v="Azzurri"/>
    <s v="Reggio di Calabria"/>
    <s v="Informatica"/>
    <n v="1315"/>
    <n v="2"/>
    <s v="Calabria"/>
    <s v="RC"/>
    <s v="SUD"/>
    <n v="83"/>
    <s v="Fascia 4 (da 1200 €  a meno di 1500 €)"/>
    <x v="4"/>
  </r>
  <r>
    <n v="164"/>
    <d v="2014-06-29T00:00:00"/>
    <s v="Gialli"/>
    <s v="Savona"/>
    <s v="Libri"/>
    <n v="1670"/>
    <n v="3"/>
    <s v="Liguria"/>
    <s v="SV"/>
    <s v="NORD"/>
    <n v="80"/>
    <s v="Fascia 5 (da 1500 € e oltre)"/>
    <x v="0"/>
  </r>
  <r>
    <n v="165"/>
    <d v="2014-06-14T00:00:00"/>
    <s v="Gialli"/>
    <s v="Varese"/>
    <s v="Cancelleria"/>
    <n v="1691"/>
    <n v="3"/>
    <s v="Lombardia"/>
    <s v="VA"/>
    <s v="NORD"/>
    <n v="80"/>
    <s v="Fascia 5 (da 1500 € e oltre)"/>
    <x v="0"/>
  </r>
  <r>
    <n v="166"/>
    <d v="2014-03-03T00:00:00"/>
    <s v="Neri"/>
    <s v="Rimini"/>
    <s v="Informatica"/>
    <n v="1313"/>
    <n v="3"/>
    <s v="Emilia-Romagna"/>
    <s v="RN"/>
    <s v="NORD"/>
    <n v="70"/>
    <s v="Fascia 4 (da 1200 €  a meno di 1500 €)"/>
    <x v="0"/>
  </r>
  <r>
    <n v="167"/>
    <d v="2014-06-09T00:00:00"/>
    <s v="Rossi"/>
    <s v="Pordenone"/>
    <s v="Informatica"/>
    <n v="789"/>
    <n v="4"/>
    <s v="Friuli-Venezia Giulia"/>
    <s v="PN"/>
    <s v="NORD"/>
    <n v="96"/>
    <s v="Fascia 2 (da 400 €  a meno di 800 €)"/>
    <x v="2"/>
  </r>
  <r>
    <n v="168"/>
    <d v="2014-03-02T00:00:00"/>
    <s v="Gialli"/>
    <s v="Teramo"/>
    <s v="Libri"/>
    <n v="135"/>
    <n v="5"/>
    <s v="Abruzzo"/>
    <s v="TE"/>
    <s v="CENTRO"/>
    <n v="80"/>
    <s v="Fascia 1 (inferiore a 400 €)"/>
    <x v="1"/>
  </r>
  <r>
    <n v="169"/>
    <d v="2014-02-06T00:00:00"/>
    <s v="Bianchi"/>
    <s v="Siracusa"/>
    <s v="Art. Regalo"/>
    <n v="1583"/>
    <n v="5"/>
    <s v="Sicilia"/>
    <s v="SR"/>
    <s v="ISOLE"/>
    <n v="87"/>
    <s v="Fascia 5 (da 1500 € e oltre)"/>
    <x v="1"/>
  </r>
  <r>
    <n v="170"/>
    <d v="2014-03-08T00:00:00"/>
    <s v="Verdi"/>
    <s v="Varese"/>
    <s v="Art. Regalo"/>
    <n v="1857"/>
    <n v="1"/>
    <s v="Lombardia"/>
    <s v="VA"/>
    <s v="NORD"/>
    <n v="84"/>
    <s v="Fascia 5 (da 1500 € e oltre)"/>
    <x v="3"/>
  </r>
  <r>
    <n v="171"/>
    <d v="2014-03-03T00:00:00"/>
    <s v="Neri"/>
    <s v="Trieste"/>
    <s v="Informatica"/>
    <n v="1655"/>
    <n v="3"/>
    <s v="Friuli-Venezia Giulia"/>
    <s v="TS"/>
    <s v="NORD"/>
    <n v="70"/>
    <s v="Fascia 5 (da 1500 € e oltre)"/>
    <x v="0"/>
  </r>
  <r>
    <n v="172"/>
    <d v="2014-05-18T00:00:00"/>
    <s v="Gialli"/>
    <s v="Verona"/>
    <s v="Cancelleria"/>
    <n v="727"/>
    <n v="3"/>
    <s v="Veneto"/>
    <s v="VR"/>
    <s v="NORD"/>
    <n v="80"/>
    <s v="Fascia 2 (da 400 €  a meno di 800 €)"/>
    <x v="0"/>
  </r>
  <r>
    <n v="173"/>
    <d v="2014-02-27T00:00:00"/>
    <s v="Gialli"/>
    <s v="Pesaro e Urbino"/>
    <s v="Cancelleria"/>
    <n v="1637"/>
    <n v="3"/>
    <s v="Marche"/>
    <s v="PS"/>
    <s v="CENTRO"/>
    <n v="80"/>
    <s v="Fascia 5 (da 1500 € e oltre)"/>
    <x v="0"/>
  </r>
  <r>
    <n v="174"/>
    <d v="2014-06-06T00:00:00"/>
    <s v="Verdi"/>
    <s v="Piacenza"/>
    <s v="Informatica"/>
    <n v="456"/>
    <n v="5"/>
    <s v="Emilia-Romagna"/>
    <s v="PC"/>
    <s v="NORD"/>
    <n v="84"/>
    <s v="Fascia 2 (da 400 €  a meno di 800 €)"/>
    <x v="1"/>
  </r>
  <r>
    <n v="175"/>
    <d v="2014-03-10T00:00:00"/>
    <s v="Verdi"/>
    <s v="Treviso"/>
    <s v="Cancelleria"/>
    <n v="1109"/>
    <n v="5"/>
    <s v="Veneto"/>
    <s v="TV"/>
    <s v="NORD"/>
    <n v="84"/>
    <s v="Fascia 3 (da 800 €  a meno di 1200 €)"/>
    <x v="1"/>
  </r>
  <r>
    <n v="176"/>
    <d v="2014-06-28T00:00:00"/>
    <s v="Rossi"/>
    <s v="Prato"/>
    <s v="Cancelleria"/>
    <n v="1593"/>
    <n v="4"/>
    <s v="Toscana"/>
    <s v="PO"/>
    <s v="CENTRO"/>
    <n v="96"/>
    <s v="Fascia 5 (da 1500 € e oltre)"/>
    <x v="2"/>
  </r>
  <r>
    <n v="177"/>
    <d v="2014-05-27T00:00:00"/>
    <s v="Gialli"/>
    <s v="Rovigo"/>
    <s v="Cancelleria"/>
    <n v="686"/>
    <n v="1"/>
    <s v="Veneto"/>
    <s v="RO"/>
    <s v="NORD"/>
    <n v="80"/>
    <s v="Fascia 2 (da 400 €  a meno di 800 €)"/>
    <x v="3"/>
  </r>
  <r>
    <n v="178"/>
    <d v="2014-04-24T00:00:00"/>
    <s v="Azzurri"/>
    <s v="Siena"/>
    <s v="Libri"/>
    <n v="155"/>
    <n v="4"/>
    <s v="Toscana"/>
    <s v="SI"/>
    <s v="CENTRO"/>
    <n v="83"/>
    <s v="Fascia 1 (inferiore a 400 €)"/>
    <x v="2"/>
  </r>
  <r>
    <n v="179"/>
    <d v="2014-02-15T00:00:00"/>
    <s v="Bianchi"/>
    <s v="Siracusa"/>
    <s v="Art. Regalo"/>
    <n v="686"/>
    <n v="2"/>
    <s v="Sicilia"/>
    <s v="SR"/>
    <s v="ISOLE"/>
    <n v="87"/>
    <s v="Fascia 2 (da 400 €  a meno di 800 €)"/>
    <x v="4"/>
  </r>
  <r>
    <n v="180"/>
    <d v="2014-04-14T00:00:00"/>
    <s v="Bianchi"/>
    <s v="Potenza"/>
    <s v="Art. Regalo"/>
    <n v="450"/>
    <n v="1"/>
    <s v="Basilicata"/>
    <s v="PZ"/>
    <s v="SUD"/>
    <n v="87"/>
    <s v="Fascia 2 (da 400 €  a meno di 800 €)"/>
    <x v="3"/>
  </r>
  <r>
    <n v="181"/>
    <d v="2014-06-15T00:00:00"/>
    <s v="Neri"/>
    <s v="Torino"/>
    <s v="Cancelleria"/>
    <n v="478"/>
    <n v="4"/>
    <s v="Piemonte"/>
    <s v="TO"/>
    <s v="NORD"/>
    <n v="70"/>
    <s v="Fascia 2 (da 400 €  a meno di 800 €)"/>
    <x v="2"/>
  </r>
  <r>
    <n v="182"/>
    <d v="2014-03-06T00:00:00"/>
    <s v="Azzurri"/>
    <s v="Sassari"/>
    <s v="Cancelleria"/>
    <n v="939"/>
    <n v="5"/>
    <s v="Sardegna"/>
    <s v="SS"/>
    <s v="ISOLE"/>
    <n v="83"/>
    <s v="Fascia 3 (da 800 €  a meno di 1200 €)"/>
    <x v="1"/>
  </r>
  <r>
    <n v="183"/>
    <d v="2014-02-16T00:00:00"/>
    <s v="Gialli"/>
    <s v="Reggio di Calabria"/>
    <s v="Art. Regalo"/>
    <n v="1608"/>
    <n v="2"/>
    <s v="Calabria"/>
    <s v="RC"/>
    <s v="SUD"/>
    <n v="80"/>
    <s v="Fascia 5 (da 1500 € e oltre)"/>
    <x v="4"/>
  </r>
  <r>
    <n v="184"/>
    <d v="2014-01-10T00:00:00"/>
    <s v="Azzurri"/>
    <s v="Varese"/>
    <s v="Libri"/>
    <n v="1791"/>
    <n v="2"/>
    <s v="Lombardia"/>
    <s v="VA"/>
    <s v="NORD"/>
    <n v="83"/>
    <s v="Fascia 5 (da 1500 € e oltre)"/>
    <x v="4"/>
  </r>
  <r>
    <n v="185"/>
    <d v="2014-05-17T00:00:00"/>
    <s v="Verdi"/>
    <s v="Vercelli"/>
    <s v="Cancelleria"/>
    <n v="371"/>
    <n v="2"/>
    <s v="Piemonte"/>
    <s v="VC"/>
    <s v="NORD"/>
    <n v="84"/>
    <s v="Fascia 1 (inferiore a 400 €)"/>
    <x v="4"/>
  </r>
  <r>
    <n v="186"/>
    <d v="2014-01-28T00:00:00"/>
    <s v="Rossi"/>
    <s v="Reggio di Calabria"/>
    <s v="Cancelleria"/>
    <n v="1407"/>
    <n v="1"/>
    <s v="Calabria"/>
    <s v="RC"/>
    <s v="SUD"/>
    <n v="96"/>
    <s v="Fascia 4 (da 1200 €  a meno di 1500 €)"/>
    <x v="3"/>
  </r>
  <r>
    <n v="187"/>
    <d v="2014-05-22T00:00:00"/>
    <s v="Gialli"/>
    <s v="Vercelli"/>
    <s v="Libri"/>
    <n v="1909"/>
    <n v="4"/>
    <s v="Piemonte"/>
    <s v="VC"/>
    <s v="NORD"/>
    <n v="80"/>
    <s v="Fascia 5 (da 1500 € e oltre)"/>
    <x v="2"/>
  </r>
  <r>
    <n v="188"/>
    <d v="2014-05-16T00:00:00"/>
    <s v="Verdi"/>
    <s v="Perugia"/>
    <s v="Giocattoli"/>
    <n v="1715"/>
    <n v="2"/>
    <s v="Umbria"/>
    <s v="PG"/>
    <s v="CENTRO"/>
    <n v="84"/>
    <s v="Fascia 5 (da 1500 € e oltre)"/>
    <x v="4"/>
  </r>
  <r>
    <n v="189"/>
    <d v="2014-02-13T00:00:00"/>
    <s v="Gialli"/>
    <s v="Vibo Valentia"/>
    <s v="Cancelleria"/>
    <n v="1145"/>
    <n v="2"/>
    <s v="Calabria"/>
    <s v="VV"/>
    <s v="SUD"/>
    <n v="80"/>
    <s v="Fascia 3 (da 800 €  a meno di 1200 €)"/>
    <x v="4"/>
  </r>
  <r>
    <n v="190"/>
    <d v="2014-04-29T00:00:00"/>
    <s v="Gialli"/>
    <s v="Potenza"/>
    <s v="Cancelleria"/>
    <n v="925"/>
    <n v="3"/>
    <s v="Basilicata"/>
    <s v="PZ"/>
    <s v="SUD"/>
    <n v="80"/>
    <s v="Fascia 3 (da 800 €  a meno di 1200 €)"/>
    <x v="0"/>
  </r>
  <r>
    <n v="191"/>
    <d v="2014-06-27T00:00:00"/>
    <s v="Rossi"/>
    <s v="Verbano-Cusio-Ossola"/>
    <s v="Libri"/>
    <n v="547"/>
    <n v="5"/>
    <s v="Piemonte"/>
    <s v="VB"/>
    <s v="NORD"/>
    <n v="96"/>
    <s v="Fascia 2 (da 400 €  a meno di 800 €)"/>
    <x v="1"/>
  </r>
  <r>
    <n v="192"/>
    <d v="2014-01-26T00:00:00"/>
    <s v="Bianchi"/>
    <s v="Terni"/>
    <s v="Giocattoli"/>
    <n v="1961"/>
    <n v="5"/>
    <s v="Umbria"/>
    <s v="TR"/>
    <s v="CENTRO"/>
    <n v="87"/>
    <s v="Fascia 5 (da 1500 € e oltre)"/>
    <x v="1"/>
  </r>
  <r>
    <n v="193"/>
    <d v="2014-04-05T00:00:00"/>
    <s v="Gialli"/>
    <s v="Trieste"/>
    <s v="Art. Regalo"/>
    <n v="184"/>
    <n v="5"/>
    <s v="Friuli-Venezia Giulia"/>
    <s v="TS"/>
    <s v="NORD"/>
    <n v="80"/>
    <s v="Fascia 1 (inferiore a 400 €)"/>
    <x v="1"/>
  </r>
  <r>
    <n v="194"/>
    <d v="2014-03-26T00:00:00"/>
    <s v="Gialli"/>
    <s v="Ragusa"/>
    <s v="Libri"/>
    <n v="163"/>
    <n v="1"/>
    <s v="Sicilia"/>
    <s v="RG"/>
    <s v="ISOLE"/>
    <n v="80"/>
    <s v="Fascia 1 (inferiore a 400 €)"/>
    <x v="3"/>
  </r>
  <r>
    <n v="195"/>
    <d v="2014-04-15T00:00:00"/>
    <s v="Rossi"/>
    <s v="Rieti"/>
    <s v="Art. Regalo"/>
    <n v="484"/>
    <n v="4"/>
    <s v="Lazio"/>
    <s v="RI"/>
    <s v="CENTRO"/>
    <n v="96"/>
    <s v="Fascia 2 (da 400 €  a meno di 800 €)"/>
    <x v="2"/>
  </r>
  <r>
    <n v="196"/>
    <d v="2014-06-25T00:00:00"/>
    <s v="Rossi"/>
    <s v="Pescara"/>
    <s v="Cancelleria"/>
    <n v="792"/>
    <n v="2"/>
    <s v="Abruzzo"/>
    <s v="PE"/>
    <s v="CENTRO"/>
    <n v="96"/>
    <s v="Fascia 2 (da 400 €  a meno di 800 €)"/>
    <x v="4"/>
  </r>
  <r>
    <n v="197"/>
    <d v="2014-02-13T00:00:00"/>
    <s v="Neri"/>
    <s v="Savona"/>
    <s v="Art. Regalo"/>
    <n v="24"/>
    <n v="5"/>
    <s v="Liguria"/>
    <s v="SV"/>
    <s v="NORD"/>
    <n v="70"/>
    <s v="Fascia 1 (inferiore a 400 €)"/>
    <x v="1"/>
  </r>
  <r>
    <n v="198"/>
    <d v="2014-02-17T00:00:00"/>
    <s v="Gialli"/>
    <s v="Verbano-Cusio-Ossola"/>
    <s v="Art. Regalo"/>
    <n v="705"/>
    <n v="3"/>
    <s v="Piemonte"/>
    <s v="VB"/>
    <s v="NORD"/>
    <n v="80"/>
    <s v="Fascia 2 (da 400 €  a meno di 800 €)"/>
    <x v="0"/>
  </r>
  <r>
    <n v="199"/>
    <d v="2014-02-23T00:00:00"/>
    <s v="Verdi"/>
    <s v="Sondrio"/>
    <s v="Libri"/>
    <n v="1288"/>
    <n v="1"/>
    <s v="Lombardia"/>
    <s v="SO"/>
    <s v="NORD"/>
    <n v="84"/>
    <s v="Fascia 4 (da 1200 €  a meno di 1500 €)"/>
    <x v="3"/>
  </r>
  <r>
    <n v="200"/>
    <d v="2014-02-02T00:00:00"/>
    <s v="Bianchi"/>
    <s v="Reggio nell'Emilia"/>
    <s v="Giocattoli"/>
    <n v="956"/>
    <n v="2"/>
    <s v="Emilia-Romagna"/>
    <s v="RE"/>
    <s v="NORD"/>
    <n v="87"/>
    <s v="Fascia 3 (da 800 €  a meno di 1200 €)"/>
    <x v="4"/>
  </r>
  <r>
    <n v="201"/>
    <d v="2014-06-29T00:00:00"/>
    <s v="Azzurri"/>
    <s v="Venezia"/>
    <s v="Art. Regalo"/>
    <n v="1770"/>
    <n v="4"/>
    <s v="Veneto"/>
    <s v="VE"/>
    <s v="NORD"/>
    <n v="83"/>
    <s v="Fascia 5 (da 1500 € e oltre)"/>
    <x v="2"/>
  </r>
  <r>
    <n v="202"/>
    <d v="2014-02-11T00:00:00"/>
    <s v="Rossi"/>
    <s v="Savona"/>
    <s v="Cancelleria"/>
    <n v="1449"/>
    <n v="4"/>
    <s v="Liguria"/>
    <s v="SV"/>
    <s v="NORD"/>
    <n v="96"/>
    <s v="Fascia 4 (da 1200 €  a meno di 1500 €)"/>
    <x v="2"/>
  </r>
  <r>
    <n v="203"/>
    <d v="2014-01-06T00:00:00"/>
    <s v="Neri"/>
    <s v="Verona"/>
    <s v="Giocattoli"/>
    <n v="1300"/>
    <n v="1"/>
    <s v="Veneto"/>
    <s v="VR"/>
    <s v="NORD"/>
    <n v="70"/>
    <s v="Fascia 4 (da 1200 €  a meno di 1500 €)"/>
    <x v="3"/>
  </r>
  <r>
    <n v="204"/>
    <d v="2014-04-13T00:00:00"/>
    <s v="Neri"/>
    <s v="Pisa"/>
    <s v="Art. Regalo"/>
    <n v="1909"/>
    <n v="1"/>
    <s v="Toscana"/>
    <s v="PI"/>
    <s v="CENTRO"/>
    <n v="70"/>
    <s v="Fascia 5 (da 1500 € e oltre)"/>
    <x v="3"/>
  </r>
  <r>
    <n v="205"/>
    <d v="2014-03-02T00:00:00"/>
    <s v="Rossi"/>
    <s v="Savona"/>
    <s v="Art. Regalo"/>
    <n v="1006"/>
    <n v="3"/>
    <s v="Liguria"/>
    <s v="SV"/>
    <s v="NORD"/>
    <n v="96"/>
    <s v="Fascia 3 (da 800 €  a meno di 1200 €)"/>
    <x v="0"/>
  </r>
  <r>
    <n v="206"/>
    <d v="2014-02-04T00:00:00"/>
    <s v="Bianchi"/>
    <s v="Trento"/>
    <s v="Cancelleria"/>
    <n v="715"/>
    <n v="3"/>
    <s v="Trentino-Alto Adige"/>
    <s v="TN"/>
    <s v="NORD"/>
    <n v="87"/>
    <s v="Fascia 2 (da 400 €  a meno di 800 €)"/>
    <x v="0"/>
  </r>
  <r>
    <n v="207"/>
    <d v="2014-03-23T00:00:00"/>
    <s v="Azzurri"/>
    <s v="Trapani"/>
    <s v="Cancelleria"/>
    <n v="296"/>
    <n v="2"/>
    <s v="Sicilia"/>
    <s v="TP"/>
    <s v="ISOLE"/>
    <n v="83"/>
    <s v="Fascia 1 (inferiore a 400 €)"/>
    <x v="4"/>
  </r>
  <r>
    <n v="208"/>
    <d v="2014-06-12T00:00:00"/>
    <s v="Neri"/>
    <s v="Rimini"/>
    <s v="Giocattoli"/>
    <n v="1079"/>
    <n v="2"/>
    <s v="Emilia-Romagna"/>
    <s v="RN"/>
    <s v="NORD"/>
    <n v="70"/>
    <s v="Fascia 3 (da 800 €  a meno di 1200 €)"/>
    <x v="4"/>
  </r>
  <r>
    <n v="209"/>
    <d v="2014-01-23T00:00:00"/>
    <s v="Azzurri"/>
    <s v="Rieti"/>
    <s v="Giocattoli"/>
    <n v="222"/>
    <n v="5"/>
    <s v="Lazio"/>
    <s v="RI"/>
    <s v="CENTRO"/>
    <n v="83"/>
    <s v="Fascia 1 (inferiore a 400 €)"/>
    <x v="1"/>
  </r>
  <r>
    <n v="210"/>
    <d v="2014-01-12T00:00:00"/>
    <s v="Neri"/>
    <s v="Treviso"/>
    <s v="Giocattoli"/>
    <n v="1433"/>
    <n v="5"/>
    <s v="Veneto"/>
    <s v="TV"/>
    <s v="NORD"/>
    <n v="70"/>
    <s v="Fascia 4 (da 1200 €  a meno di 1500 €)"/>
    <x v="1"/>
  </r>
  <r>
    <n v="211"/>
    <d v="2014-06-05T00:00:00"/>
    <s v="Rossi"/>
    <s v="Vicenza"/>
    <s v="Libri"/>
    <n v="1052"/>
    <n v="3"/>
    <s v="Veneto"/>
    <s v="VI"/>
    <s v="NORD"/>
    <n v="96"/>
    <s v="Fascia 3 (da 800 €  a meno di 1200 €)"/>
    <x v="0"/>
  </r>
  <r>
    <n v="212"/>
    <d v="2014-01-05T00:00:00"/>
    <s v="Neri"/>
    <s v="Pisa"/>
    <s v="Cancelleria"/>
    <n v="1917"/>
    <n v="3"/>
    <s v="Toscana"/>
    <s v="PI"/>
    <s v="CENTRO"/>
    <n v="70"/>
    <s v="Fascia 5 (da 1500 € e oltre)"/>
    <x v="0"/>
  </r>
  <r>
    <n v="213"/>
    <d v="2014-03-07T00:00:00"/>
    <s v="Verdi"/>
    <s v="Terni"/>
    <s v="Informatica"/>
    <n v="1973"/>
    <n v="1"/>
    <s v="Umbria"/>
    <s v="TR"/>
    <s v="CENTRO"/>
    <n v="84"/>
    <s v="Fascia 5 (da 1500 € e oltre)"/>
    <x v="3"/>
  </r>
  <r>
    <n v="214"/>
    <d v="2014-04-25T00:00:00"/>
    <s v="Verdi"/>
    <s v="Teramo"/>
    <s v="Libri"/>
    <n v="10"/>
    <n v="1"/>
    <s v="Abruzzo"/>
    <s v="TE"/>
    <s v="CENTRO"/>
    <n v="84"/>
    <s v="Fascia 1 (inferiore a 400 €)"/>
    <x v="3"/>
  </r>
  <r>
    <n v="215"/>
    <d v="2014-04-21T00:00:00"/>
    <s v="Verdi"/>
    <s v="Trieste"/>
    <s v="Art. Regalo"/>
    <n v="328"/>
    <n v="1"/>
    <s v="Friuli-Venezia Giulia"/>
    <s v="TS"/>
    <s v="NORD"/>
    <n v="84"/>
    <s v="Fascia 1 (inferiore a 400 €)"/>
    <x v="3"/>
  </r>
  <r>
    <n v="216"/>
    <d v="2014-04-21T00:00:00"/>
    <s v="Gialli"/>
    <s v="Savona"/>
    <s v="Libri"/>
    <n v="1425"/>
    <n v="4"/>
    <s v="Liguria"/>
    <s v="SV"/>
    <s v="NORD"/>
    <n v="80"/>
    <s v="Fascia 4 (da 1200 €  a meno di 1500 €)"/>
    <x v="2"/>
  </r>
  <r>
    <n v="217"/>
    <d v="2014-02-10T00:00:00"/>
    <s v="Bianchi"/>
    <s v="Perugia"/>
    <s v="Informatica"/>
    <n v="833"/>
    <n v="2"/>
    <s v="Umbria"/>
    <s v="PG"/>
    <s v="CENTRO"/>
    <n v="87"/>
    <s v="Fascia 3 (da 800 €  a meno di 1200 €)"/>
    <x v="4"/>
  </r>
  <r>
    <n v="218"/>
    <d v="2014-01-10T00:00:00"/>
    <s v="Verdi"/>
    <s v="Salerno"/>
    <s v="Libri"/>
    <n v="1656"/>
    <n v="5"/>
    <s v="Campania"/>
    <s v="SA"/>
    <s v="SUD"/>
    <n v="84"/>
    <s v="Fascia 5 (da 1500 € e oltre)"/>
    <x v="1"/>
  </r>
  <r>
    <n v="219"/>
    <d v="2014-05-26T00:00:00"/>
    <s v="Azzurri"/>
    <s v="Terni"/>
    <s v="Giocattoli"/>
    <n v="1792"/>
    <n v="4"/>
    <s v="Umbria"/>
    <s v="TR"/>
    <s v="CENTRO"/>
    <n v="83"/>
    <s v="Fascia 5 (da 1500 € e oltre)"/>
    <x v="2"/>
  </r>
  <r>
    <n v="220"/>
    <d v="2014-05-18T00:00:00"/>
    <s v="Rossi"/>
    <s v="Reggio di Calabria"/>
    <s v="Giocattoli"/>
    <n v="454"/>
    <n v="1"/>
    <s v="Calabria"/>
    <s v="RC"/>
    <s v="SUD"/>
    <n v="96"/>
    <s v="Fascia 2 (da 400 €  a meno di 800 €)"/>
    <x v="3"/>
  </r>
  <r>
    <n v="221"/>
    <d v="2014-02-28T00:00:00"/>
    <s v="Azzurri"/>
    <s v="Savona"/>
    <s v="Informatica"/>
    <n v="1337"/>
    <n v="2"/>
    <s v="Liguria"/>
    <s v="SV"/>
    <s v="NORD"/>
    <n v="83"/>
    <s v="Fascia 4 (da 1200 €  a meno di 1500 €)"/>
    <x v="4"/>
  </r>
  <r>
    <n v="222"/>
    <d v="2014-02-22T00:00:00"/>
    <s v="Rossi"/>
    <s v="Perugia"/>
    <s v="Art. Regalo"/>
    <n v="986"/>
    <n v="4"/>
    <s v="Umbria"/>
    <s v="PG"/>
    <s v="CENTRO"/>
    <n v="96"/>
    <s v="Fascia 3 (da 800 €  a meno di 1200 €)"/>
    <x v="2"/>
  </r>
  <r>
    <n v="223"/>
    <d v="2014-05-17T00:00:00"/>
    <s v="Bianchi"/>
    <s v="Varese"/>
    <s v="Libri"/>
    <n v="348"/>
    <n v="2"/>
    <s v="Lombardia"/>
    <s v="VA"/>
    <s v="NORD"/>
    <n v="87"/>
    <s v="Fascia 1 (inferiore a 400 €)"/>
    <x v="4"/>
  </r>
  <r>
    <n v="224"/>
    <d v="2014-02-09T00:00:00"/>
    <s v="Verdi"/>
    <s v="Trento"/>
    <s v="Cancelleria"/>
    <n v="582"/>
    <n v="3"/>
    <s v="Trentino-Alto Adige"/>
    <s v="TN"/>
    <s v="NORD"/>
    <n v="84"/>
    <s v="Fascia 2 (da 400 €  a meno di 800 €)"/>
    <x v="0"/>
  </r>
  <r>
    <n v="225"/>
    <d v="2014-01-20T00:00:00"/>
    <s v="Rossi"/>
    <s v="Potenza"/>
    <s v="Art. Regalo"/>
    <n v="634"/>
    <n v="2"/>
    <s v="Basilicata"/>
    <s v="PZ"/>
    <s v="SUD"/>
    <n v="96"/>
    <s v="Fascia 2 (da 400 €  a meno di 800 €)"/>
    <x v="4"/>
  </r>
  <r>
    <n v="226"/>
    <d v="2014-04-20T00:00:00"/>
    <s v="Azzurri"/>
    <s v="Sassari"/>
    <s v="Cancelleria"/>
    <n v="282"/>
    <n v="3"/>
    <s v="Sardegna"/>
    <s v="SS"/>
    <s v="ISOLE"/>
    <n v="83"/>
    <s v="Fascia 1 (inferiore a 400 €)"/>
    <x v="0"/>
  </r>
  <r>
    <n v="227"/>
    <d v="2014-04-26T00:00:00"/>
    <s v="Bianchi"/>
    <s v="Pisa"/>
    <s v="Art. Regalo"/>
    <n v="481"/>
    <n v="4"/>
    <s v="Toscana"/>
    <s v="PI"/>
    <s v="CENTRO"/>
    <n v="87"/>
    <s v="Fascia 2 (da 400 €  a meno di 800 €)"/>
    <x v="2"/>
  </r>
  <r>
    <n v="228"/>
    <d v="2014-03-27T00:00:00"/>
    <s v="Azzurri"/>
    <s v="Rovigo"/>
    <s v="Giocattoli"/>
    <n v="1441"/>
    <n v="5"/>
    <s v="Veneto"/>
    <s v="RO"/>
    <s v="NORD"/>
    <n v="83"/>
    <s v="Fascia 4 (da 1200 €  a meno di 1500 €)"/>
    <x v="1"/>
  </r>
  <r>
    <n v="229"/>
    <d v="2014-06-15T00:00:00"/>
    <s v="Bianchi"/>
    <s v="Savona"/>
    <s v="Giocattoli"/>
    <n v="808"/>
    <n v="4"/>
    <s v="Liguria"/>
    <s v="SV"/>
    <s v="NORD"/>
    <n v="87"/>
    <s v="Fascia 3 (da 800 €  a meno di 1200 €)"/>
    <x v="2"/>
  </r>
  <r>
    <n v="230"/>
    <d v="2014-01-17T00:00:00"/>
    <s v="Bianchi"/>
    <s v="Venezia"/>
    <s v="Informatica"/>
    <n v="1874"/>
    <n v="5"/>
    <s v="Veneto"/>
    <s v="VE"/>
    <s v="NORD"/>
    <n v="87"/>
    <s v="Fascia 5 (da 1500 € e oltre)"/>
    <x v="1"/>
  </r>
  <r>
    <n v="231"/>
    <d v="2014-01-21T00:00:00"/>
    <s v="Verdi"/>
    <s v="Potenza"/>
    <s v="Libri"/>
    <n v="965"/>
    <n v="1"/>
    <s v="Basilicata"/>
    <s v="PZ"/>
    <s v="SUD"/>
    <n v="84"/>
    <s v="Fascia 3 (da 800 €  a meno di 1200 €)"/>
    <x v="3"/>
  </r>
  <r>
    <n v="232"/>
    <d v="2014-01-18T00:00:00"/>
    <s v="Verdi"/>
    <s v="Ravenna"/>
    <s v="Cancelleria"/>
    <n v="93"/>
    <n v="1"/>
    <s v="Emilia-Romagna"/>
    <s v="RA"/>
    <s v="NORD"/>
    <n v="84"/>
    <s v="Fascia 1 (inferiore a 400 €)"/>
    <x v="3"/>
  </r>
  <r>
    <n v="233"/>
    <d v="2014-01-22T00:00:00"/>
    <s v="Azzurri"/>
    <s v="Trento"/>
    <s v="Giocattoli"/>
    <n v="1774"/>
    <n v="3"/>
    <s v="Trentino-Alto Adige"/>
    <s v="TN"/>
    <s v="NORD"/>
    <n v="83"/>
    <s v="Fascia 5 (da 1500 € e oltre)"/>
    <x v="0"/>
  </r>
  <r>
    <n v="234"/>
    <d v="2014-06-10T00:00:00"/>
    <s v="Verdi"/>
    <s v="Torino"/>
    <s v="Art. Regalo"/>
    <n v="217"/>
    <n v="5"/>
    <s v="Piemonte"/>
    <s v="TO"/>
    <s v="NORD"/>
    <n v="84"/>
    <s v="Fascia 1 (inferiore a 400 €)"/>
    <x v="1"/>
  </r>
  <r>
    <n v="235"/>
    <d v="2014-05-07T00:00:00"/>
    <s v="Rossi"/>
    <s v="Vercelli"/>
    <s v="Cancelleria"/>
    <n v="737"/>
    <n v="3"/>
    <s v="Piemonte"/>
    <s v="VC"/>
    <s v="NORD"/>
    <n v="96"/>
    <s v="Fascia 2 (da 400 €  a meno di 800 €)"/>
    <x v="0"/>
  </r>
  <r>
    <n v="236"/>
    <d v="2014-04-07T00:00:00"/>
    <s v="Verdi"/>
    <s v="Verona"/>
    <s v="Art. Regalo"/>
    <n v="1154"/>
    <n v="1"/>
    <s v="Veneto"/>
    <s v="VR"/>
    <s v="NORD"/>
    <n v="84"/>
    <s v="Fascia 3 (da 800 €  a meno di 1200 €)"/>
    <x v="3"/>
  </r>
  <r>
    <n v="237"/>
    <d v="2014-02-17T00:00:00"/>
    <s v="Rossi"/>
    <s v="Taranto"/>
    <s v="Informatica"/>
    <n v="891"/>
    <n v="3"/>
    <s v="Puglia"/>
    <s v="TA"/>
    <s v="SUD"/>
    <n v="96"/>
    <s v="Fascia 3 (da 800 €  a meno di 1200 €)"/>
    <x v="0"/>
  </r>
  <r>
    <n v="238"/>
    <d v="2014-04-25T00:00:00"/>
    <s v="Neri"/>
    <s v="Piacenza"/>
    <s v="Libri"/>
    <n v="1130"/>
    <n v="2"/>
    <s v="Emilia-Romagna"/>
    <s v="PC"/>
    <s v="NORD"/>
    <n v="70"/>
    <s v="Fascia 3 (da 800 €  a meno di 1200 €)"/>
    <x v="4"/>
  </r>
  <r>
    <n v="239"/>
    <d v="2014-06-29T00:00:00"/>
    <s v="Azzurri"/>
    <s v="Trento"/>
    <s v="Informatica"/>
    <n v="317"/>
    <n v="4"/>
    <s v="Trentino-Alto Adige"/>
    <s v="TN"/>
    <s v="NORD"/>
    <n v="83"/>
    <s v="Fascia 1 (inferiore a 400 €)"/>
    <x v="2"/>
  </r>
  <r>
    <n v="240"/>
    <d v="2014-02-25T00:00:00"/>
    <s v="Azzurri"/>
    <s v="Piacenza"/>
    <s v="Art. Regalo"/>
    <n v="1663"/>
    <n v="5"/>
    <s v="Emilia-Romagna"/>
    <s v="PC"/>
    <s v="NORD"/>
    <n v="83"/>
    <s v="Fascia 5 (da 1500 € e oltre)"/>
    <x v="1"/>
  </r>
  <r>
    <n v="241"/>
    <d v="2014-01-30T00:00:00"/>
    <s v="Gialli"/>
    <s v="Vercelli"/>
    <s v="Giocattoli"/>
    <n v="107"/>
    <n v="1"/>
    <s v="Piemonte"/>
    <s v="VC"/>
    <s v="NORD"/>
    <n v="80"/>
    <s v="Fascia 1 (inferiore a 400 €)"/>
    <x v="3"/>
  </r>
  <r>
    <n v="242"/>
    <d v="2014-06-10T00:00:00"/>
    <s v="Gialli"/>
    <s v="Udine"/>
    <s v="Giocattoli"/>
    <n v="1430"/>
    <n v="2"/>
    <s v="Friuli-Venezia Giulia"/>
    <s v="UD"/>
    <s v="NORD"/>
    <n v="80"/>
    <s v="Fascia 4 (da 1200 €  a meno di 1500 €)"/>
    <x v="4"/>
  </r>
  <r>
    <n v="243"/>
    <d v="2014-04-18T00:00:00"/>
    <s v="Rossi"/>
    <s v="Pordenone"/>
    <s v="Libri"/>
    <n v="298"/>
    <n v="1"/>
    <s v="Friuli-Venezia Giulia"/>
    <s v="PN"/>
    <s v="NORD"/>
    <n v="96"/>
    <s v="Fascia 1 (inferiore a 400 €)"/>
    <x v="3"/>
  </r>
  <r>
    <n v="244"/>
    <d v="2014-04-29T00:00:00"/>
    <s v="Azzurri"/>
    <s v="Reggio di Calabria"/>
    <s v="Giocattoli"/>
    <n v="1557"/>
    <n v="3"/>
    <s v="Calabria"/>
    <s v="RC"/>
    <s v="SUD"/>
    <n v="83"/>
    <s v="Fascia 5 (da 1500 € e oltre)"/>
    <x v="0"/>
  </r>
  <r>
    <n v="245"/>
    <d v="2014-04-07T00:00:00"/>
    <s v="Neri"/>
    <s v="Pavia"/>
    <s v="Giocattoli"/>
    <n v="477"/>
    <n v="3"/>
    <s v="Lombardia"/>
    <s v="PV"/>
    <s v="NORD"/>
    <n v="70"/>
    <s v="Fascia 2 (da 400 €  a meno di 800 €)"/>
    <x v="0"/>
  </r>
  <r>
    <n v="246"/>
    <d v="2014-02-26T00:00:00"/>
    <s v="Rossi"/>
    <s v="Piacenza"/>
    <s v="Cancelleria"/>
    <n v="1593"/>
    <n v="3"/>
    <s v="Emilia-Romagna"/>
    <s v="PC"/>
    <s v="NORD"/>
    <n v="96"/>
    <s v="Fascia 5 (da 1500 € e oltre)"/>
    <x v="0"/>
  </r>
  <r>
    <n v="247"/>
    <d v="2014-02-09T00:00:00"/>
    <s v="Verdi"/>
    <s v="Verbano-Cusio-Ossola"/>
    <s v="Art. Regalo"/>
    <n v="534"/>
    <n v="5"/>
    <s v="Piemonte"/>
    <s v="VB"/>
    <s v="NORD"/>
    <n v="84"/>
    <s v="Fascia 2 (da 400 €  a meno di 800 €)"/>
    <x v="1"/>
  </r>
  <r>
    <n v="248"/>
    <d v="2014-06-26T00:00:00"/>
    <s v="Neri"/>
    <s v="Rovigo"/>
    <s v="Art. Regalo"/>
    <n v="1615"/>
    <n v="5"/>
    <s v="Veneto"/>
    <s v="RO"/>
    <s v="NORD"/>
    <n v="70"/>
    <s v="Fascia 5 (da 1500 € e oltre)"/>
    <x v="1"/>
  </r>
  <r>
    <n v="249"/>
    <d v="2014-01-26T00:00:00"/>
    <s v="Verdi"/>
    <s v="Pisa"/>
    <s v="Art. Regalo"/>
    <n v="416"/>
    <n v="3"/>
    <s v="Toscana"/>
    <s v="PI"/>
    <s v="CENTRO"/>
    <n v="84"/>
    <s v="Fascia 2 (da 400 €  a meno di 800 €)"/>
    <x v="0"/>
  </r>
  <r>
    <n v="250"/>
    <d v="2014-01-26T00:00:00"/>
    <s v="Rossi"/>
    <s v="Venezia"/>
    <s v="Giocattoli"/>
    <n v="201"/>
    <n v="4"/>
    <s v="Veneto"/>
    <s v="VE"/>
    <s v="NORD"/>
    <n v="96"/>
    <s v="Fascia 1 (inferiore a 400 €)"/>
    <x v="2"/>
  </r>
  <r>
    <n v="251"/>
    <d v="2014-06-14T00:00:00"/>
    <s v="Gialli"/>
    <s v="Pordenone"/>
    <s v="Giocattoli"/>
    <n v="95"/>
    <n v="3"/>
    <s v="Friuli-Venezia Giulia"/>
    <s v="PN"/>
    <s v="NORD"/>
    <n v="80"/>
    <s v="Fascia 1 (inferiore a 400 €)"/>
    <x v="0"/>
  </r>
  <r>
    <n v="252"/>
    <d v="2014-01-31T00:00:00"/>
    <s v="Verdi"/>
    <s v="Vicenza"/>
    <s v="Informatica"/>
    <n v="1762"/>
    <n v="3"/>
    <s v="Veneto"/>
    <s v="VI"/>
    <s v="NORD"/>
    <n v="84"/>
    <s v="Fascia 5 (da 1500 € e oltre)"/>
    <x v="0"/>
  </r>
  <r>
    <n v="253"/>
    <d v="2014-02-18T00:00:00"/>
    <s v="Gialli"/>
    <s v="Siracusa"/>
    <s v="Informatica"/>
    <n v="222"/>
    <n v="4"/>
    <s v="Sicilia"/>
    <s v="SR"/>
    <s v="ISOLE"/>
    <n v="80"/>
    <s v="Fascia 1 (inferiore a 400 €)"/>
    <x v="2"/>
  </r>
  <r>
    <n v="254"/>
    <d v="2014-04-30T00:00:00"/>
    <s v="Rossi"/>
    <s v="Siracusa"/>
    <s v="Art. Regalo"/>
    <n v="1701"/>
    <n v="3"/>
    <s v="Sicilia"/>
    <s v="SR"/>
    <s v="ISOLE"/>
    <n v="96"/>
    <s v="Fascia 5 (da 1500 € e oltre)"/>
    <x v="0"/>
  </r>
  <r>
    <n v="255"/>
    <d v="2014-01-06T00:00:00"/>
    <s v="Rossi"/>
    <s v="Reggio nell'Emilia"/>
    <s v="Cancelleria"/>
    <n v="1517"/>
    <n v="1"/>
    <s v="Emilia-Romagna"/>
    <s v="RE"/>
    <s v="NORD"/>
    <n v="96"/>
    <s v="Fascia 5 (da 1500 € e oltre)"/>
    <x v="3"/>
  </r>
  <r>
    <n v="256"/>
    <d v="2014-05-29T00:00:00"/>
    <s v="Verdi"/>
    <s v="Pesaro e Urbino"/>
    <s v="Libri"/>
    <n v="1596"/>
    <n v="1"/>
    <s v="Marche"/>
    <s v="PS"/>
    <s v="CENTRO"/>
    <n v="84"/>
    <s v="Fascia 5 (da 1500 € e oltre)"/>
    <x v="3"/>
  </r>
  <r>
    <n v="257"/>
    <d v="2014-04-28T00:00:00"/>
    <s v="Gialli"/>
    <s v="Rieti"/>
    <s v="Giocattoli"/>
    <n v="1048"/>
    <n v="5"/>
    <s v="Lazio"/>
    <s v="RI"/>
    <s v="CENTRO"/>
    <n v="80"/>
    <s v="Fascia 3 (da 800 €  a meno di 1200 €)"/>
    <x v="1"/>
  </r>
  <r>
    <n v="258"/>
    <d v="2014-03-16T00:00:00"/>
    <s v="Azzurri"/>
    <s v="Vibo Valentia"/>
    <s v="Informatica"/>
    <n v="173"/>
    <n v="5"/>
    <s v="Calabria"/>
    <s v="VV"/>
    <s v="SUD"/>
    <n v="83"/>
    <s v="Fascia 1 (inferiore a 400 €)"/>
    <x v="1"/>
  </r>
  <r>
    <n v="259"/>
    <d v="2014-06-17T00:00:00"/>
    <s v="Bianchi"/>
    <s v="Perugia"/>
    <s v="Informatica"/>
    <n v="1960"/>
    <n v="4"/>
    <s v="Umbria"/>
    <s v="PG"/>
    <s v="CENTRO"/>
    <n v="87"/>
    <s v="Fascia 5 (da 1500 € e oltre)"/>
    <x v="2"/>
  </r>
  <r>
    <n v="260"/>
    <d v="2014-04-23T00:00:00"/>
    <s v="Gialli"/>
    <s v="Vercelli"/>
    <s v="Libri"/>
    <n v="910"/>
    <n v="2"/>
    <s v="Piemonte"/>
    <s v="VC"/>
    <s v="NORD"/>
    <n v="80"/>
    <s v="Fascia 3 (da 800 €  a meno di 1200 €)"/>
    <x v="4"/>
  </r>
  <r>
    <n v="261"/>
    <d v="2014-05-07T00:00:00"/>
    <s v="Verdi"/>
    <s v="Pavia"/>
    <s v="Giocattoli"/>
    <n v="830"/>
    <n v="5"/>
    <s v="Lombardia"/>
    <s v="PV"/>
    <s v="NORD"/>
    <n v="84"/>
    <s v="Fascia 3 (da 800 €  a meno di 1200 €)"/>
    <x v="1"/>
  </r>
  <r>
    <n v="262"/>
    <d v="2014-05-21T00:00:00"/>
    <s v="Gialli"/>
    <s v="Salerno"/>
    <s v="Art. Regalo"/>
    <n v="1006"/>
    <n v="2"/>
    <s v="Campania"/>
    <s v="SA"/>
    <s v="SUD"/>
    <n v="80"/>
    <s v="Fascia 3 (da 800 €  a meno di 1200 €)"/>
    <x v="4"/>
  </r>
  <r>
    <n v="263"/>
    <d v="2014-01-28T00:00:00"/>
    <s v="Gialli"/>
    <s v="Pordenone"/>
    <s v="Cancelleria"/>
    <n v="268"/>
    <n v="4"/>
    <s v="Friuli-Venezia Giulia"/>
    <s v="PN"/>
    <s v="NORD"/>
    <n v="80"/>
    <s v="Fascia 1 (inferiore a 400 €)"/>
    <x v="2"/>
  </r>
  <r>
    <n v="264"/>
    <d v="2014-04-14T00:00:00"/>
    <s v="Verdi"/>
    <s v="Perugia"/>
    <s v="Cancelleria"/>
    <n v="1160"/>
    <n v="5"/>
    <s v="Umbria"/>
    <s v="PG"/>
    <s v="CENTRO"/>
    <n v="84"/>
    <s v="Fascia 3 (da 800 €  a meno di 1200 €)"/>
    <x v="1"/>
  </r>
  <r>
    <n v="265"/>
    <d v="2014-03-22T00:00:00"/>
    <s v="Rossi"/>
    <s v="Pavia"/>
    <s v="Cancelleria"/>
    <n v="1000"/>
    <n v="1"/>
    <s v="Lombardia"/>
    <s v="PV"/>
    <s v="NORD"/>
    <n v="96"/>
    <s v="Fascia 3 (da 800 €  a meno di 1200 €)"/>
    <x v="3"/>
  </r>
  <r>
    <n v="266"/>
    <d v="2014-03-17T00:00:00"/>
    <s v="Bianchi"/>
    <s v="Pescara"/>
    <s v="Libri"/>
    <n v="1733"/>
    <n v="5"/>
    <s v="Abruzzo"/>
    <s v="PE"/>
    <s v="CENTRO"/>
    <n v="87"/>
    <s v="Fascia 5 (da 1500 € e oltre)"/>
    <x v="1"/>
  </r>
  <r>
    <n v="267"/>
    <d v="2014-06-09T00:00:00"/>
    <s v="Gialli"/>
    <s v="Savona"/>
    <s v="Libri"/>
    <n v="892"/>
    <n v="4"/>
    <s v="Liguria"/>
    <s v="SV"/>
    <s v="NORD"/>
    <n v="80"/>
    <s v="Fascia 3 (da 800 €  a meno di 1200 €)"/>
    <x v="2"/>
  </r>
  <r>
    <n v="268"/>
    <d v="2014-05-19T00:00:00"/>
    <s v="Rossi"/>
    <s v="Ragusa"/>
    <s v="Giocattoli"/>
    <n v="425"/>
    <n v="2"/>
    <s v="Sicilia"/>
    <s v="RG"/>
    <s v="ISOLE"/>
    <n v="96"/>
    <s v="Fascia 2 (da 400 €  a meno di 800 €)"/>
    <x v="4"/>
  </r>
  <r>
    <n v="269"/>
    <d v="2014-06-27T00:00:00"/>
    <s v="Rossi"/>
    <s v="Reggio nell'Emilia"/>
    <s v="Giocattoli"/>
    <n v="262"/>
    <n v="3"/>
    <s v="Emilia-Romagna"/>
    <s v="RE"/>
    <s v="NORD"/>
    <n v="96"/>
    <s v="Fascia 1 (inferiore a 400 €)"/>
    <x v="0"/>
  </r>
  <r>
    <n v="270"/>
    <d v="2014-05-15T00:00:00"/>
    <s v="Verdi"/>
    <s v="Ravenna"/>
    <s v="Giocattoli"/>
    <n v="1475"/>
    <n v="3"/>
    <s v="Emilia-Romagna"/>
    <s v="RA"/>
    <s v="NORD"/>
    <n v="84"/>
    <s v="Fascia 4 (da 1200 €  a meno di 1500 €)"/>
    <x v="0"/>
  </r>
  <r>
    <n v="271"/>
    <d v="2014-05-31T00:00:00"/>
    <s v="Azzurri"/>
    <s v="Vibo Valentia"/>
    <s v="Giocattoli"/>
    <n v="1483"/>
    <n v="2"/>
    <s v="Calabria"/>
    <s v="VV"/>
    <s v="SUD"/>
    <n v="83"/>
    <s v="Fascia 4 (da 1200 €  a meno di 1500 €)"/>
    <x v="4"/>
  </r>
  <r>
    <n v="272"/>
    <d v="2014-05-09T00:00:00"/>
    <s v="Bianchi"/>
    <s v="Rimini"/>
    <s v="Libri"/>
    <n v="1255"/>
    <n v="5"/>
    <s v="Emilia-Romagna"/>
    <s v="RN"/>
    <s v="NORD"/>
    <n v="87"/>
    <s v="Fascia 4 (da 1200 €  a meno di 1500 €)"/>
    <x v="1"/>
  </r>
  <r>
    <n v="273"/>
    <d v="2014-02-13T00:00:00"/>
    <s v="Bianchi"/>
    <s v="Savona"/>
    <s v="Giocattoli"/>
    <n v="1687"/>
    <n v="2"/>
    <s v="Liguria"/>
    <s v="SV"/>
    <s v="NORD"/>
    <n v="87"/>
    <s v="Fascia 5 (da 1500 € e oltre)"/>
    <x v="4"/>
  </r>
  <r>
    <n v="274"/>
    <d v="2014-02-13T00:00:00"/>
    <s v="Gialli"/>
    <s v="Vicenza"/>
    <s v="Art. Regalo"/>
    <n v="792"/>
    <n v="5"/>
    <s v="Veneto"/>
    <s v="VI"/>
    <s v="NORD"/>
    <n v="80"/>
    <s v="Fascia 2 (da 400 €  a meno di 800 €)"/>
    <x v="1"/>
  </r>
  <r>
    <n v="275"/>
    <d v="2014-06-09T00:00:00"/>
    <s v="Gialli"/>
    <s v="Rieti"/>
    <s v="Cancelleria"/>
    <n v="1284"/>
    <n v="2"/>
    <s v="Lazio"/>
    <s v="RI"/>
    <s v="CENTRO"/>
    <n v="80"/>
    <s v="Fascia 4 (da 1200 €  a meno di 1500 €)"/>
    <x v="4"/>
  </r>
  <r>
    <n v="276"/>
    <d v="2014-04-01T00:00:00"/>
    <s v="Gialli"/>
    <s v="Prato"/>
    <s v="Informatica"/>
    <n v="1007"/>
    <n v="3"/>
    <s v="Toscana"/>
    <s v="PO"/>
    <s v="CENTRO"/>
    <n v="80"/>
    <s v="Fascia 3 (da 800 €  a meno di 1200 €)"/>
    <x v="0"/>
  </r>
  <r>
    <n v="277"/>
    <d v="2014-05-19T00:00:00"/>
    <s v="Verdi"/>
    <s v="Pescara"/>
    <s v="Giocattoli"/>
    <n v="1313"/>
    <n v="3"/>
    <s v="Abruzzo"/>
    <s v="PE"/>
    <s v="CENTRO"/>
    <n v="84"/>
    <s v="Fascia 4 (da 1200 €  a meno di 1500 €)"/>
    <x v="0"/>
  </r>
  <r>
    <n v="278"/>
    <d v="2014-04-29T00:00:00"/>
    <s v="Verdi"/>
    <s v="Reggio di Calabria"/>
    <s v="Art. Regalo"/>
    <n v="535"/>
    <n v="4"/>
    <s v="Calabria"/>
    <s v="RC"/>
    <s v="SUD"/>
    <n v="84"/>
    <s v="Fascia 2 (da 400 €  a meno di 800 €)"/>
    <x v="2"/>
  </r>
  <r>
    <n v="279"/>
    <d v="2014-04-14T00:00:00"/>
    <s v="Verdi"/>
    <s v="Prato"/>
    <s v="Giocattoli"/>
    <n v="930"/>
    <n v="5"/>
    <s v="Toscana"/>
    <s v="PO"/>
    <s v="CENTRO"/>
    <n v="84"/>
    <s v="Fascia 3 (da 800 €  a meno di 1200 €)"/>
    <x v="1"/>
  </r>
  <r>
    <n v="280"/>
    <d v="2014-02-08T00:00:00"/>
    <s v="Neri"/>
    <s v="Varese"/>
    <s v="Informatica"/>
    <n v="1008"/>
    <n v="3"/>
    <s v="Lombardia"/>
    <s v="VA"/>
    <s v="NORD"/>
    <n v="70"/>
    <s v="Fascia 3 (da 800 €  a meno di 1200 €)"/>
    <x v="0"/>
  </r>
  <r>
    <n v="281"/>
    <d v="2014-01-17T00:00:00"/>
    <s v="Azzurri"/>
    <s v="Taranto"/>
    <s v="Giocattoli"/>
    <n v="840"/>
    <n v="1"/>
    <s v="Puglia"/>
    <s v="TA"/>
    <s v="SUD"/>
    <n v="83"/>
    <s v="Fascia 3 (da 800 €  a meno di 1200 €)"/>
    <x v="3"/>
  </r>
  <r>
    <n v="282"/>
    <d v="2014-06-11T00:00:00"/>
    <s v="Rossi"/>
    <s v="Siena"/>
    <s v="Giocattoli"/>
    <n v="58"/>
    <n v="5"/>
    <s v="Toscana"/>
    <s v="SI"/>
    <s v="CENTRO"/>
    <n v="96"/>
    <s v="Fascia 1 (inferiore a 400 €)"/>
    <x v="1"/>
  </r>
  <r>
    <n v="283"/>
    <d v="2014-04-14T00:00:00"/>
    <s v="Neri"/>
    <s v="Trapani"/>
    <s v="Libri"/>
    <n v="652"/>
    <n v="5"/>
    <s v="Sicilia"/>
    <s v="TP"/>
    <s v="ISOLE"/>
    <n v="70"/>
    <s v="Fascia 2 (da 400 €  a meno di 800 €)"/>
    <x v="1"/>
  </r>
  <r>
    <n v="284"/>
    <d v="2014-05-29T00:00:00"/>
    <s v="Bianchi"/>
    <s v="Torino"/>
    <s v="Giocattoli"/>
    <n v="834"/>
    <n v="2"/>
    <s v="Piemonte"/>
    <s v="TO"/>
    <s v="NORD"/>
    <n v="87"/>
    <s v="Fascia 3 (da 800 €  a meno di 1200 €)"/>
    <x v="4"/>
  </r>
  <r>
    <n v="285"/>
    <d v="2014-04-17T00:00:00"/>
    <s v="Rossi"/>
    <s v="Teramo"/>
    <s v="Libri"/>
    <n v="1394"/>
    <n v="5"/>
    <s v="Abruzzo"/>
    <s v="TE"/>
    <s v="CENTRO"/>
    <n v="96"/>
    <s v="Fascia 4 (da 1200 €  a meno di 1500 €)"/>
    <x v="1"/>
  </r>
  <r>
    <n v="286"/>
    <d v="2014-04-11T00:00:00"/>
    <s v="Rossi"/>
    <s v="Perugia"/>
    <s v="Informatica"/>
    <n v="1809"/>
    <n v="2"/>
    <s v="Umbria"/>
    <s v="PG"/>
    <s v="CENTRO"/>
    <n v="96"/>
    <s v="Fascia 5 (da 1500 € e oltre)"/>
    <x v="4"/>
  </r>
  <r>
    <n v="287"/>
    <d v="2014-04-28T00:00:00"/>
    <s v="Azzurri"/>
    <s v="Rieti"/>
    <s v="Informatica"/>
    <n v="1381"/>
    <n v="3"/>
    <s v="Lazio"/>
    <s v="RI"/>
    <s v="CENTRO"/>
    <n v="83"/>
    <s v="Fascia 4 (da 1200 €  a meno di 1500 €)"/>
    <x v="0"/>
  </r>
  <r>
    <n v="288"/>
    <d v="2014-02-27T00:00:00"/>
    <s v="Gialli"/>
    <s v="Pisa"/>
    <s v="Giocattoli"/>
    <n v="742"/>
    <n v="1"/>
    <s v="Toscana"/>
    <s v="PI"/>
    <s v="CENTRO"/>
    <n v="80"/>
    <s v="Fascia 2 (da 400 €  a meno di 800 €)"/>
    <x v="3"/>
  </r>
  <r>
    <n v="289"/>
    <d v="2014-05-11T00:00:00"/>
    <s v="Verdi"/>
    <s v="Pordenone"/>
    <s v="Art. Regalo"/>
    <n v="12"/>
    <n v="4"/>
    <s v="Friuli-Venezia Giulia"/>
    <s v="PN"/>
    <s v="NORD"/>
    <n v="84"/>
    <s v="Fascia 1 (inferiore a 400 €)"/>
    <x v="2"/>
  </r>
  <r>
    <n v="290"/>
    <d v="2014-04-29T00:00:00"/>
    <s v="Neri"/>
    <s v="Verbano-Cusio-Ossola"/>
    <s v="Libri"/>
    <n v="118"/>
    <n v="5"/>
    <s v="Piemonte"/>
    <s v="VB"/>
    <s v="NORD"/>
    <n v="70"/>
    <s v="Fascia 1 (inferiore a 400 €)"/>
    <x v="1"/>
  </r>
  <r>
    <n v="291"/>
    <d v="2014-03-03T00:00:00"/>
    <s v="Rossi"/>
    <s v="Pesaro e Urbino"/>
    <s v="Informatica"/>
    <n v="2000"/>
    <n v="4"/>
    <s v="Marche"/>
    <s v="PS"/>
    <s v="CENTRO"/>
    <n v="96"/>
    <s v="Fascia 5 (da 1500 € e oltre)"/>
    <x v="2"/>
  </r>
  <r>
    <n v="292"/>
    <d v="2014-02-04T00:00:00"/>
    <s v="Azzurri"/>
    <s v="Teramo"/>
    <s v="Giocattoli"/>
    <n v="1963"/>
    <n v="4"/>
    <s v="Abruzzo"/>
    <s v="TE"/>
    <s v="CENTRO"/>
    <n v="83"/>
    <s v="Fascia 5 (da 1500 € e oltre)"/>
    <x v="2"/>
  </r>
  <r>
    <n v="293"/>
    <d v="2014-02-24T00:00:00"/>
    <s v="Bianchi"/>
    <s v="Savona"/>
    <s v="Informatica"/>
    <n v="1583"/>
    <n v="4"/>
    <s v="Liguria"/>
    <s v="SV"/>
    <s v="NORD"/>
    <n v="87"/>
    <s v="Fascia 5 (da 1500 € e oltre)"/>
    <x v="2"/>
  </r>
  <r>
    <n v="294"/>
    <d v="2014-03-07T00:00:00"/>
    <s v="Neri"/>
    <s v="Verbano-Cusio-Ossola"/>
    <s v="Art. Regalo"/>
    <n v="1103"/>
    <n v="1"/>
    <s v="Piemonte"/>
    <s v="VB"/>
    <s v="NORD"/>
    <n v="70"/>
    <s v="Fascia 3 (da 800 €  a meno di 1200 €)"/>
    <x v="3"/>
  </r>
  <r>
    <n v="295"/>
    <d v="2014-06-24T00:00:00"/>
    <s v="Azzurri"/>
    <s v="Sondrio"/>
    <s v="Libri"/>
    <n v="837"/>
    <n v="3"/>
    <s v="Lombardia"/>
    <s v="SO"/>
    <s v="NORD"/>
    <n v="83"/>
    <s v="Fascia 3 (da 800 €  a meno di 1200 €)"/>
    <x v="0"/>
  </r>
  <r>
    <n v="296"/>
    <d v="2014-05-13T00:00:00"/>
    <s v="Neri"/>
    <s v="Reggio di Calabria"/>
    <s v="Libri"/>
    <n v="6"/>
    <n v="2"/>
    <s v="Calabria"/>
    <s v="RC"/>
    <s v="SUD"/>
    <n v="70"/>
    <s v="Fascia 1 (inferiore a 400 €)"/>
    <x v="4"/>
  </r>
  <r>
    <n v="297"/>
    <d v="2014-03-05T00:00:00"/>
    <s v="Gialli"/>
    <s v="Potenza"/>
    <s v="Giocattoli"/>
    <n v="94"/>
    <n v="5"/>
    <s v="Basilicata"/>
    <s v="PZ"/>
    <s v="SUD"/>
    <n v="80"/>
    <s v="Fascia 1 (inferiore a 400 €)"/>
    <x v="1"/>
  </r>
  <r>
    <n v="298"/>
    <d v="2014-01-15T00:00:00"/>
    <s v="Verdi"/>
    <s v="Siracusa"/>
    <s v="Cancelleria"/>
    <n v="1206"/>
    <n v="1"/>
    <s v="Sicilia"/>
    <s v="SR"/>
    <s v="ISOLE"/>
    <n v="84"/>
    <s v="Fascia 4 (da 1200 €  a meno di 1500 €)"/>
    <x v="3"/>
  </r>
  <r>
    <n v="299"/>
    <d v="2014-02-07T00:00:00"/>
    <s v="Gialli"/>
    <s v="Reggio di Calabria"/>
    <s v="Giocattoli"/>
    <n v="1266"/>
    <n v="4"/>
    <s v="Calabria"/>
    <s v="RC"/>
    <s v="SUD"/>
    <n v="80"/>
    <s v="Fascia 4 (da 1200 €  a meno di 1500 €)"/>
    <x v="2"/>
  </r>
  <r>
    <n v="300"/>
    <d v="2014-03-10T00:00:00"/>
    <s v="Bianchi"/>
    <s v="Treviso"/>
    <s v="Art. Regalo"/>
    <n v="707"/>
    <n v="5"/>
    <s v="Veneto"/>
    <s v="TV"/>
    <s v="NORD"/>
    <n v="87"/>
    <s v="Fascia 2 (da 400 €  a meno di 800 €)"/>
    <x v="1"/>
  </r>
  <r>
    <n v="301"/>
    <d v="2014-06-25T00:00:00"/>
    <s v="Neri"/>
    <s v="Sondrio"/>
    <s v="Libri"/>
    <n v="42"/>
    <n v="2"/>
    <s v="Lombardia"/>
    <s v="SO"/>
    <s v="NORD"/>
    <n v="70"/>
    <s v="Fascia 1 (inferiore a 400 €)"/>
    <x v="4"/>
  </r>
  <r>
    <n v="302"/>
    <d v="2014-02-05T00:00:00"/>
    <s v="Bianchi"/>
    <s v="Verbano-Cusio-Ossola"/>
    <s v="Libri"/>
    <n v="1560"/>
    <n v="5"/>
    <s v="Piemonte"/>
    <s v="VB"/>
    <s v="NORD"/>
    <n v="87"/>
    <s v="Fascia 5 (da 1500 € e oltre)"/>
    <x v="1"/>
  </r>
  <r>
    <n v="303"/>
    <d v="2014-05-05T00:00:00"/>
    <s v="Verdi"/>
    <s v="Roma"/>
    <s v="Art. Regalo"/>
    <n v="1996"/>
    <n v="2"/>
    <s v="Lazio"/>
    <s v="RM"/>
    <s v="CENTRO"/>
    <n v="84"/>
    <s v="Fascia 5 (da 1500 € e oltre)"/>
    <x v="4"/>
  </r>
  <r>
    <n v="304"/>
    <d v="2014-02-20T00:00:00"/>
    <s v="Rossi"/>
    <s v="Pisa"/>
    <s v="Informatica"/>
    <n v="884"/>
    <n v="4"/>
    <s v="Toscana"/>
    <s v="PI"/>
    <s v="CENTRO"/>
    <n v="96"/>
    <s v="Fascia 3 (da 800 €  a meno di 1200 €)"/>
    <x v="2"/>
  </r>
  <r>
    <n v="305"/>
    <d v="2014-05-25T00:00:00"/>
    <s v="Rossi"/>
    <s v="Sassari"/>
    <s v="Libri"/>
    <n v="534"/>
    <n v="4"/>
    <s v="Sardegna"/>
    <s v="SS"/>
    <s v="ISOLE"/>
    <n v="96"/>
    <s v="Fascia 2 (da 400 €  a meno di 800 €)"/>
    <x v="2"/>
  </r>
  <r>
    <n v="306"/>
    <d v="2014-04-11T00:00:00"/>
    <s v="Bianchi"/>
    <s v="Ragusa"/>
    <s v="Giocattoli"/>
    <n v="1370"/>
    <n v="2"/>
    <s v="Sicilia"/>
    <s v="RG"/>
    <s v="ISOLE"/>
    <n v="87"/>
    <s v="Fascia 4 (da 1200 €  a meno di 1500 €)"/>
    <x v="4"/>
  </r>
  <r>
    <n v="307"/>
    <d v="2014-02-01T00:00:00"/>
    <s v="Bianchi"/>
    <s v="Rimini"/>
    <s v="Libri"/>
    <n v="331"/>
    <n v="4"/>
    <s v="Emilia-Romagna"/>
    <s v="RN"/>
    <s v="NORD"/>
    <n v="87"/>
    <s v="Fascia 1 (inferiore a 400 €)"/>
    <x v="2"/>
  </r>
  <r>
    <n v="308"/>
    <d v="2014-03-24T00:00:00"/>
    <s v="Bianchi"/>
    <s v="Verbano-Cusio-Ossola"/>
    <s v="Art. Regalo"/>
    <n v="878"/>
    <n v="1"/>
    <s v="Piemonte"/>
    <s v="VB"/>
    <s v="NORD"/>
    <n v="87"/>
    <s v="Fascia 3 (da 800 €  a meno di 1200 €)"/>
    <x v="3"/>
  </r>
  <r>
    <n v="309"/>
    <d v="2014-01-27T00:00:00"/>
    <s v="Rossi"/>
    <s v="Verbano-Cusio-Ossola"/>
    <s v="Libri"/>
    <n v="1320"/>
    <n v="2"/>
    <s v="Piemonte"/>
    <s v="VB"/>
    <s v="NORD"/>
    <n v="96"/>
    <s v="Fascia 4 (da 1200 €  a meno di 1500 €)"/>
    <x v="4"/>
  </r>
  <r>
    <n v="310"/>
    <d v="2014-05-28T00:00:00"/>
    <s v="Azzurri"/>
    <s v="Reggio di Calabria"/>
    <s v="Cancelleria"/>
    <n v="1889"/>
    <n v="5"/>
    <s v="Calabria"/>
    <s v="RC"/>
    <s v="SUD"/>
    <n v="83"/>
    <s v="Fascia 5 (da 1500 € e oltre)"/>
    <x v="1"/>
  </r>
  <r>
    <n v="311"/>
    <d v="2014-02-27T00:00:00"/>
    <s v="Verdi"/>
    <s v="Rovigo"/>
    <s v="Giocattoli"/>
    <n v="1330"/>
    <n v="5"/>
    <s v="Veneto"/>
    <s v="RO"/>
    <s v="NORD"/>
    <n v="84"/>
    <s v="Fascia 4 (da 1200 €  a meno di 1500 €)"/>
    <x v="1"/>
  </r>
  <r>
    <n v="312"/>
    <d v="2014-02-08T00:00:00"/>
    <s v="Verdi"/>
    <s v="Reggio di Calabria"/>
    <s v="Informatica"/>
    <n v="1515"/>
    <n v="3"/>
    <s v="Calabria"/>
    <s v="RC"/>
    <s v="SUD"/>
    <n v="84"/>
    <s v="Fascia 5 (da 1500 € e oltre)"/>
    <x v="0"/>
  </r>
  <r>
    <n v="313"/>
    <d v="2014-05-06T00:00:00"/>
    <s v="Rossi"/>
    <s v="Terni"/>
    <s v="Art. Regalo"/>
    <n v="363"/>
    <n v="4"/>
    <s v="Umbria"/>
    <s v="TR"/>
    <s v="CENTRO"/>
    <n v="96"/>
    <s v="Fascia 1 (inferiore a 400 €)"/>
    <x v="2"/>
  </r>
  <r>
    <n v="314"/>
    <d v="2014-05-23T00:00:00"/>
    <s v="Azzurri"/>
    <s v="Trieste"/>
    <s v="Art. Regalo"/>
    <n v="1616"/>
    <n v="2"/>
    <s v="Friuli-Venezia Giulia"/>
    <s v="TS"/>
    <s v="NORD"/>
    <n v="83"/>
    <s v="Fascia 5 (da 1500 € e oltre)"/>
    <x v="4"/>
  </r>
  <r>
    <n v="315"/>
    <d v="2014-03-07T00:00:00"/>
    <s v="Gialli"/>
    <s v="Pisa"/>
    <s v="Art. Regalo"/>
    <n v="66"/>
    <n v="3"/>
    <s v="Toscana"/>
    <s v="PI"/>
    <s v="CENTRO"/>
    <n v="80"/>
    <s v="Fascia 1 (inferiore a 400 €)"/>
    <x v="0"/>
  </r>
  <r>
    <n v="316"/>
    <d v="2014-01-20T00:00:00"/>
    <s v="Rossi"/>
    <s v="Potenza"/>
    <s v="Libri"/>
    <n v="1451"/>
    <n v="2"/>
    <s v="Basilicata"/>
    <s v="PZ"/>
    <s v="SUD"/>
    <n v="96"/>
    <s v="Fascia 4 (da 1200 €  a meno di 1500 €)"/>
    <x v="4"/>
  </r>
  <r>
    <n v="317"/>
    <d v="2014-06-14T00:00:00"/>
    <s v="Bianchi"/>
    <s v="Siracusa"/>
    <s v="Informatica"/>
    <n v="922"/>
    <n v="1"/>
    <s v="Sicilia"/>
    <s v="SR"/>
    <s v="ISOLE"/>
    <n v="87"/>
    <s v="Fascia 3 (da 800 €  a meno di 1200 €)"/>
    <x v="3"/>
  </r>
  <r>
    <n v="318"/>
    <d v="2014-04-18T00:00:00"/>
    <s v="Azzurri"/>
    <s v="Perugia"/>
    <s v="Art. Regalo"/>
    <n v="777"/>
    <n v="4"/>
    <s v="Umbria"/>
    <s v="PG"/>
    <s v="CENTRO"/>
    <n v="83"/>
    <s v="Fascia 2 (da 400 €  a meno di 800 €)"/>
    <x v="2"/>
  </r>
  <r>
    <n v="319"/>
    <d v="2014-04-19T00:00:00"/>
    <s v="Azzurri"/>
    <s v="Vercelli"/>
    <s v="Libri"/>
    <n v="1553"/>
    <n v="3"/>
    <s v="Piemonte"/>
    <s v="VC"/>
    <s v="NORD"/>
    <n v="83"/>
    <s v="Fascia 5 (da 1500 € e oltre)"/>
    <x v="0"/>
  </r>
  <r>
    <n v="320"/>
    <d v="2014-01-21T00:00:00"/>
    <s v="Azzurri"/>
    <s v="Roma"/>
    <s v="Cancelleria"/>
    <n v="1602"/>
    <n v="4"/>
    <s v="Lazio"/>
    <s v="RM"/>
    <s v="CENTRO"/>
    <n v="83"/>
    <s v="Fascia 5 (da 1500 € e oltre)"/>
    <x v="2"/>
  </r>
  <r>
    <n v="321"/>
    <d v="2014-04-16T00:00:00"/>
    <s v="Neri"/>
    <s v="Trieste"/>
    <s v="Art. Regalo"/>
    <n v="1223"/>
    <n v="4"/>
    <s v="Friuli-Venezia Giulia"/>
    <s v="TS"/>
    <s v="NORD"/>
    <n v="70"/>
    <s v="Fascia 4 (da 1200 €  a meno di 1500 €)"/>
    <x v="2"/>
  </r>
  <r>
    <n v="322"/>
    <d v="2014-06-09T00:00:00"/>
    <s v="Rossi"/>
    <s v="Savona"/>
    <s v="Art. Regalo"/>
    <n v="1410"/>
    <n v="1"/>
    <s v="Liguria"/>
    <s v="SV"/>
    <s v="NORD"/>
    <n v="96"/>
    <s v="Fascia 4 (da 1200 €  a meno di 1500 €)"/>
    <x v="3"/>
  </r>
  <r>
    <n v="323"/>
    <d v="2014-01-01T00:00:00"/>
    <s v="Rossi"/>
    <s v="Rovigo"/>
    <s v="Informatica"/>
    <n v="452"/>
    <n v="4"/>
    <s v="Veneto"/>
    <s v="RO"/>
    <s v="NORD"/>
    <n v="96"/>
    <s v="Fascia 2 (da 400 €  a meno di 800 €)"/>
    <x v="2"/>
  </r>
  <r>
    <n v="324"/>
    <d v="2014-01-19T00:00:00"/>
    <s v="Verdi"/>
    <s v="Pescara"/>
    <s v="Informatica"/>
    <n v="242"/>
    <n v="1"/>
    <s v="Abruzzo"/>
    <s v="PE"/>
    <s v="CENTRO"/>
    <n v="84"/>
    <s v="Fascia 1 (inferiore a 400 €)"/>
    <x v="3"/>
  </r>
  <r>
    <n v="325"/>
    <d v="2014-04-15T00:00:00"/>
    <s v="Neri"/>
    <s v="Piacenza"/>
    <s v="Cancelleria"/>
    <n v="1568"/>
    <n v="4"/>
    <s v="Emilia-Romagna"/>
    <s v="PC"/>
    <s v="NORD"/>
    <n v="70"/>
    <s v="Fascia 5 (da 1500 € e oltre)"/>
    <x v="2"/>
  </r>
  <r>
    <n v="326"/>
    <d v="2014-03-08T00:00:00"/>
    <s v="Verdi"/>
    <s v="Viterbo"/>
    <s v="Art. Regalo"/>
    <n v="207"/>
    <n v="4"/>
    <s v="Lazio"/>
    <s v="VT"/>
    <s v="CENTRO"/>
    <n v="84"/>
    <s v="Fascia 1 (inferiore a 400 €)"/>
    <x v="2"/>
  </r>
  <r>
    <n v="327"/>
    <d v="2014-04-20T00:00:00"/>
    <s v="Neri"/>
    <s v="Rieti"/>
    <s v="Giocattoli"/>
    <n v="1912"/>
    <n v="2"/>
    <s v="Lazio"/>
    <s v="RI"/>
    <s v="CENTRO"/>
    <n v="70"/>
    <s v="Fascia 5 (da 1500 € e oltre)"/>
    <x v="4"/>
  </r>
  <r>
    <n v="328"/>
    <d v="2014-01-16T00:00:00"/>
    <s v="Neri"/>
    <s v="Reggio nell'Emilia"/>
    <s v="Libri"/>
    <n v="771"/>
    <n v="5"/>
    <s v="Emilia-Romagna"/>
    <s v="RE"/>
    <s v="NORD"/>
    <n v="70"/>
    <s v="Fascia 2 (da 400 €  a meno di 800 €)"/>
    <x v="1"/>
  </r>
  <r>
    <n v="329"/>
    <d v="2014-02-23T00:00:00"/>
    <s v="Gialli"/>
    <s v="Savona"/>
    <s v="Art. Regalo"/>
    <n v="97"/>
    <n v="2"/>
    <s v="Liguria"/>
    <s v="SV"/>
    <s v="NORD"/>
    <n v="80"/>
    <s v="Fascia 1 (inferiore a 400 €)"/>
    <x v="4"/>
  </r>
  <r>
    <n v="330"/>
    <d v="2014-03-18T00:00:00"/>
    <s v="Rossi"/>
    <s v="Pescara"/>
    <s v="Libri"/>
    <n v="1361"/>
    <n v="5"/>
    <s v="Abruzzo"/>
    <s v="PE"/>
    <s v="CENTRO"/>
    <n v="96"/>
    <s v="Fascia 4 (da 1200 €  a meno di 1500 €)"/>
    <x v="1"/>
  </r>
  <r>
    <n v="331"/>
    <d v="2014-03-05T00:00:00"/>
    <s v="Azzurri"/>
    <s v="Vicenza"/>
    <s v="Giocattoli"/>
    <n v="1986"/>
    <n v="4"/>
    <s v="Veneto"/>
    <s v="VI"/>
    <s v="NORD"/>
    <n v="83"/>
    <s v="Fascia 5 (da 1500 € e oltre)"/>
    <x v="2"/>
  </r>
  <r>
    <n v="332"/>
    <d v="2014-03-10T00:00:00"/>
    <s v="Bianchi"/>
    <s v="Venezia"/>
    <s v="Libri"/>
    <n v="1244"/>
    <n v="3"/>
    <s v="Veneto"/>
    <s v="VE"/>
    <s v="NORD"/>
    <n v="87"/>
    <s v="Fascia 4 (da 1200 €  a meno di 1500 €)"/>
    <x v="0"/>
  </r>
  <r>
    <n v="333"/>
    <d v="2014-06-01T00:00:00"/>
    <s v="Verdi"/>
    <s v="Roma"/>
    <s v="Cancelleria"/>
    <n v="1319"/>
    <n v="1"/>
    <s v="Lazio"/>
    <s v="RM"/>
    <s v="CENTRO"/>
    <n v="84"/>
    <s v="Fascia 4 (da 1200 €  a meno di 1500 €)"/>
    <x v="3"/>
  </r>
  <r>
    <n v="334"/>
    <d v="2014-02-14T00:00:00"/>
    <s v="Gialli"/>
    <s v="Siena"/>
    <s v="Art. Regalo"/>
    <n v="1554"/>
    <n v="4"/>
    <s v="Toscana"/>
    <s v="SI"/>
    <s v="CENTRO"/>
    <n v="80"/>
    <s v="Fascia 5 (da 1500 € e oltre)"/>
    <x v="2"/>
  </r>
  <r>
    <n v="335"/>
    <d v="2014-05-04T00:00:00"/>
    <s v="Bianchi"/>
    <s v="Pordenone"/>
    <s v="Giocattoli"/>
    <n v="1472"/>
    <n v="4"/>
    <s v="Friuli-Venezia Giulia"/>
    <s v="PN"/>
    <s v="NORD"/>
    <n v="87"/>
    <s v="Fascia 4 (da 1200 €  a meno di 1500 €)"/>
    <x v="2"/>
  </r>
  <r>
    <n v="336"/>
    <d v="2014-05-25T00:00:00"/>
    <s v="Bianchi"/>
    <s v="Vercelli"/>
    <s v="Cancelleria"/>
    <n v="220"/>
    <n v="5"/>
    <s v="Piemonte"/>
    <s v="VC"/>
    <s v="NORD"/>
    <n v="87"/>
    <s v="Fascia 1 (inferiore a 400 €)"/>
    <x v="1"/>
  </r>
  <r>
    <n v="337"/>
    <d v="2014-06-19T00:00:00"/>
    <s v="Verdi"/>
    <s v="Perugia"/>
    <s v="Giocattoli"/>
    <n v="397"/>
    <n v="2"/>
    <s v="Umbria"/>
    <s v="PG"/>
    <s v="CENTRO"/>
    <n v="84"/>
    <s v="Fascia 1 (inferiore a 400 €)"/>
    <x v="4"/>
  </r>
  <r>
    <n v="338"/>
    <d v="2014-05-10T00:00:00"/>
    <s v="Gialli"/>
    <s v="Viterbo"/>
    <s v="Giocattoli"/>
    <n v="844"/>
    <n v="5"/>
    <s v="Lazio"/>
    <s v="VT"/>
    <s v="CENTRO"/>
    <n v="80"/>
    <s v="Fascia 3 (da 800 €  a meno di 1200 €)"/>
    <x v="1"/>
  </r>
  <r>
    <n v="339"/>
    <d v="2014-01-16T00:00:00"/>
    <s v="Verdi"/>
    <s v="Salerno"/>
    <s v="Giocattoli"/>
    <n v="1733"/>
    <n v="3"/>
    <s v="Campania"/>
    <s v="SA"/>
    <s v="SUD"/>
    <n v="84"/>
    <s v="Fascia 5 (da 1500 € e oltre)"/>
    <x v="0"/>
  </r>
  <r>
    <n v="340"/>
    <d v="2014-04-04T00:00:00"/>
    <s v="Gialli"/>
    <s v="Teramo"/>
    <s v="Informatica"/>
    <n v="1937"/>
    <n v="1"/>
    <s v="Abruzzo"/>
    <s v="TE"/>
    <s v="CENTRO"/>
    <n v="80"/>
    <s v="Fascia 5 (da 1500 € e oltre)"/>
    <x v="3"/>
  </r>
  <r>
    <n v="341"/>
    <d v="2014-04-10T00:00:00"/>
    <s v="Rossi"/>
    <s v="Potenza"/>
    <s v="Giocattoli"/>
    <n v="591"/>
    <n v="3"/>
    <s v="Basilicata"/>
    <s v="PZ"/>
    <s v="SUD"/>
    <n v="96"/>
    <s v="Fascia 2 (da 400 €  a meno di 800 €)"/>
    <x v="0"/>
  </r>
  <r>
    <n v="342"/>
    <d v="2014-04-02T00:00:00"/>
    <s v="Azzurri"/>
    <s v="Pistoia"/>
    <s v="Libri"/>
    <n v="1022"/>
    <n v="3"/>
    <s v="Toscana"/>
    <s v="PT"/>
    <s v="CENTRO"/>
    <n v="83"/>
    <s v="Fascia 3 (da 800 €  a meno di 1200 €)"/>
    <x v="0"/>
  </r>
  <r>
    <n v="343"/>
    <d v="2014-04-27T00:00:00"/>
    <s v="Gialli"/>
    <s v="Varese"/>
    <s v="Cancelleria"/>
    <n v="990"/>
    <n v="5"/>
    <s v="Lombardia"/>
    <s v="VA"/>
    <s v="NORD"/>
    <n v="80"/>
    <s v="Fascia 3 (da 800 €  a meno di 1200 €)"/>
    <x v="1"/>
  </r>
  <r>
    <n v="344"/>
    <d v="2014-06-01T00:00:00"/>
    <s v="Bianchi"/>
    <s v="Perugia"/>
    <s v="Art. Regalo"/>
    <n v="842"/>
    <n v="2"/>
    <s v="Umbria"/>
    <s v="PG"/>
    <s v="CENTRO"/>
    <n v="87"/>
    <s v="Fascia 3 (da 800 €  a meno di 1200 €)"/>
    <x v="4"/>
  </r>
  <r>
    <n v="345"/>
    <d v="2014-05-04T00:00:00"/>
    <s v="Verdi"/>
    <s v="Verbano-Cusio-Ossola"/>
    <s v="Giocattoli"/>
    <n v="506"/>
    <n v="5"/>
    <s v="Piemonte"/>
    <s v="VB"/>
    <s v="NORD"/>
    <n v="84"/>
    <s v="Fascia 2 (da 400 €  a meno di 800 €)"/>
    <x v="1"/>
  </r>
  <r>
    <n v="346"/>
    <d v="2014-04-18T00:00:00"/>
    <s v="Verdi"/>
    <s v="Perugia"/>
    <s v="Libri"/>
    <n v="1170"/>
    <n v="3"/>
    <s v="Umbria"/>
    <s v="PG"/>
    <s v="CENTRO"/>
    <n v="84"/>
    <s v="Fascia 3 (da 800 €  a meno di 1200 €)"/>
    <x v="0"/>
  </r>
  <r>
    <n v="347"/>
    <d v="2014-05-18T00:00:00"/>
    <s v="Rossi"/>
    <s v="Terni"/>
    <s v="Art. Regalo"/>
    <n v="460"/>
    <n v="4"/>
    <s v="Umbria"/>
    <s v="TR"/>
    <s v="CENTRO"/>
    <n v="96"/>
    <s v="Fascia 2 (da 400 €  a meno di 800 €)"/>
    <x v="2"/>
  </r>
  <r>
    <n v="348"/>
    <d v="2014-06-13T00:00:00"/>
    <s v="Azzurri"/>
    <s v="Sassari"/>
    <s v="Art. Regalo"/>
    <n v="1321"/>
    <n v="1"/>
    <s v="Sardegna"/>
    <s v="SS"/>
    <s v="ISOLE"/>
    <n v="83"/>
    <s v="Fascia 4 (da 1200 €  a meno di 1500 €)"/>
    <x v="3"/>
  </r>
  <r>
    <n v="349"/>
    <d v="2014-04-27T00:00:00"/>
    <s v="Verdi"/>
    <s v="Ragusa"/>
    <s v="Libri"/>
    <n v="166"/>
    <n v="5"/>
    <s v="Sicilia"/>
    <s v="RG"/>
    <s v="ISOLE"/>
    <n v="84"/>
    <s v="Fascia 1 (inferiore a 400 €)"/>
    <x v="1"/>
  </r>
  <r>
    <n v="350"/>
    <d v="2014-05-12T00:00:00"/>
    <s v="Neri"/>
    <s v="Viterbo"/>
    <s v="Libri"/>
    <n v="1115"/>
    <n v="1"/>
    <s v="Lazio"/>
    <s v="VT"/>
    <s v="CENTRO"/>
    <n v="70"/>
    <s v="Fascia 3 (da 800 €  a meno di 1200 €)"/>
    <x v="3"/>
  </r>
  <r>
    <n v="351"/>
    <d v="2014-02-26T00:00:00"/>
    <s v="Bianchi"/>
    <s v="Perugia"/>
    <s v="Libri"/>
    <n v="1919"/>
    <n v="2"/>
    <s v="Umbria"/>
    <s v="PG"/>
    <s v="CENTRO"/>
    <n v="87"/>
    <s v="Fascia 5 (da 1500 € e oltre)"/>
    <x v="4"/>
  </r>
  <r>
    <n v="352"/>
    <d v="2014-06-19T00:00:00"/>
    <s v="Rossi"/>
    <s v="Rovigo"/>
    <s v="Libri"/>
    <n v="1514"/>
    <n v="3"/>
    <s v="Veneto"/>
    <s v="RO"/>
    <s v="NORD"/>
    <n v="96"/>
    <s v="Fascia 5 (da 1500 € e oltre)"/>
    <x v="0"/>
  </r>
  <r>
    <n v="353"/>
    <d v="2014-05-24T00:00:00"/>
    <s v="Verdi"/>
    <s v="Rovigo"/>
    <s v="Cancelleria"/>
    <n v="3"/>
    <n v="2"/>
    <s v="Veneto"/>
    <s v="RO"/>
    <s v="NORD"/>
    <n v="84"/>
    <s v="Fascia 1 (inferiore a 400 €)"/>
    <x v="4"/>
  </r>
  <r>
    <n v="354"/>
    <d v="2014-05-01T00:00:00"/>
    <s v="Bianchi"/>
    <s v="Sondrio"/>
    <s v="Giocattoli"/>
    <n v="445"/>
    <n v="2"/>
    <s v="Lombardia"/>
    <s v="SO"/>
    <s v="NORD"/>
    <n v="87"/>
    <s v="Fascia 2 (da 400 €  a meno di 800 €)"/>
    <x v="4"/>
  </r>
  <r>
    <n v="355"/>
    <d v="2014-02-25T00:00:00"/>
    <s v="Rossi"/>
    <s v="Trapani"/>
    <s v="Art. Regalo"/>
    <n v="1028"/>
    <n v="4"/>
    <s v="Sicilia"/>
    <s v="TP"/>
    <s v="ISOLE"/>
    <n v="96"/>
    <s v="Fascia 3 (da 800 €  a meno di 1200 €)"/>
    <x v="2"/>
  </r>
  <r>
    <n v="356"/>
    <d v="2014-04-26T00:00:00"/>
    <s v="Azzurri"/>
    <s v="Pesaro e Urbino"/>
    <s v="Cancelleria"/>
    <n v="893"/>
    <n v="4"/>
    <s v="Marche"/>
    <s v="PS"/>
    <s v="CENTRO"/>
    <n v="83"/>
    <s v="Fascia 3 (da 800 €  a meno di 1200 €)"/>
    <x v="2"/>
  </r>
  <r>
    <n v="357"/>
    <d v="2014-05-03T00:00:00"/>
    <s v="Neri"/>
    <s v="Rovigo"/>
    <s v="Cancelleria"/>
    <n v="1421"/>
    <n v="1"/>
    <s v="Veneto"/>
    <s v="RO"/>
    <s v="NORD"/>
    <n v="70"/>
    <s v="Fascia 4 (da 1200 €  a meno di 1500 €)"/>
    <x v="3"/>
  </r>
  <r>
    <n v="358"/>
    <d v="2014-06-10T00:00:00"/>
    <s v="Rossi"/>
    <s v="Sondrio"/>
    <s v="Giocattoli"/>
    <n v="1941"/>
    <n v="2"/>
    <s v="Lombardia"/>
    <s v="SO"/>
    <s v="NORD"/>
    <n v="96"/>
    <s v="Fascia 5 (da 1500 € e oltre)"/>
    <x v="4"/>
  </r>
  <r>
    <n v="359"/>
    <d v="2014-02-04T00:00:00"/>
    <s v="Azzurri"/>
    <s v="Savona"/>
    <s v="Cancelleria"/>
    <n v="1537"/>
    <n v="5"/>
    <s v="Liguria"/>
    <s v="SV"/>
    <s v="NORD"/>
    <n v="83"/>
    <s v="Fascia 5 (da 1500 € e oltre)"/>
    <x v="1"/>
  </r>
  <r>
    <n v="360"/>
    <d v="2014-01-30T00:00:00"/>
    <s v="Verdi"/>
    <s v="Pesaro e Urbino"/>
    <s v="Informatica"/>
    <n v="1957"/>
    <n v="3"/>
    <s v="Marche"/>
    <s v="PS"/>
    <s v="CENTRO"/>
    <n v="84"/>
    <s v="Fascia 5 (da 1500 € e oltre)"/>
    <x v="0"/>
  </r>
  <r>
    <n v="361"/>
    <d v="2014-05-29T00:00:00"/>
    <s v="Neri"/>
    <s v="Pesaro e Urbino"/>
    <s v="Informatica"/>
    <n v="307"/>
    <n v="3"/>
    <s v="Marche"/>
    <s v="PS"/>
    <s v="CENTRO"/>
    <n v="70"/>
    <s v="Fascia 1 (inferiore a 400 €)"/>
    <x v="0"/>
  </r>
  <r>
    <n v="362"/>
    <d v="2014-04-17T00:00:00"/>
    <s v="Gialli"/>
    <s v="Siracusa"/>
    <s v="Cancelleria"/>
    <n v="1128"/>
    <n v="3"/>
    <s v="Sicilia"/>
    <s v="SR"/>
    <s v="ISOLE"/>
    <n v="80"/>
    <s v="Fascia 3 (da 800 €  a meno di 1200 €)"/>
    <x v="0"/>
  </r>
  <r>
    <n v="363"/>
    <d v="2014-04-30T00:00:00"/>
    <s v="Gialli"/>
    <s v="Sassari"/>
    <s v="Libri"/>
    <n v="849"/>
    <n v="2"/>
    <s v="Sardegna"/>
    <s v="SS"/>
    <s v="ISOLE"/>
    <n v="80"/>
    <s v="Fascia 3 (da 800 €  a meno di 1200 €)"/>
    <x v="4"/>
  </r>
  <r>
    <n v="364"/>
    <d v="2014-06-29T00:00:00"/>
    <s v="Gialli"/>
    <s v="Varese"/>
    <s v="Cancelleria"/>
    <n v="1252"/>
    <n v="1"/>
    <s v="Lombardia"/>
    <s v="VA"/>
    <s v="NORD"/>
    <n v="80"/>
    <s v="Fascia 4 (da 1200 €  a meno di 1500 €)"/>
    <x v="3"/>
  </r>
  <r>
    <n v="365"/>
    <d v="2014-05-06T00:00:00"/>
    <s v="Neri"/>
    <s v="Udine"/>
    <s v="Giocattoli"/>
    <n v="1965"/>
    <n v="4"/>
    <s v="Friuli-Venezia Giulia"/>
    <s v="UD"/>
    <s v="NORD"/>
    <n v="70"/>
    <s v="Fascia 5 (da 1500 € e oltre)"/>
    <x v="2"/>
  </r>
  <r>
    <n v="366"/>
    <d v="2014-04-03T00:00:00"/>
    <s v="Rossi"/>
    <s v="Siena"/>
    <s v="Cancelleria"/>
    <n v="667"/>
    <n v="5"/>
    <s v="Toscana"/>
    <s v="SI"/>
    <s v="CENTRO"/>
    <n v="96"/>
    <s v="Fascia 2 (da 400 €  a meno di 800 €)"/>
    <x v="1"/>
  </r>
  <r>
    <n v="367"/>
    <d v="2014-02-22T00:00:00"/>
    <s v="Gialli"/>
    <s v="Viterbo"/>
    <s v="Informatica"/>
    <n v="653"/>
    <n v="3"/>
    <s v="Lazio"/>
    <s v="VT"/>
    <s v="CENTRO"/>
    <n v="80"/>
    <s v="Fascia 2 (da 400 €  a meno di 800 €)"/>
    <x v="0"/>
  </r>
  <r>
    <n v="368"/>
    <d v="2014-06-29T00:00:00"/>
    <s v="Bianchi"/>
    <s v="Roma"/>
    <s v="Libri"/>
    <n v="1602"/>
    <n v="4"/>
    <s v="Lazio"/>
    <s v="RM"/>
    <s v="CENTRO"/>
    <n v="87"/>
    <s v="Fascia 5 (da 1500 € e oltre)"/>
    <x v="2"/>
  </r>
  <r>
    <n v="369"/>
    <d v="2014-06-23T00:00:00"/>
    <s v="Azzurri"/>
    <s v="Savona"/>
    <s v="Libri"/>
    <n v="1609"/>
    <n v="2"/>
    <s v="Liguria"/>
    <s v="SV"/>
    <s v="NORD"/>
    <n v="83"/>
    <s v="Fascia 5 (da 1500 € e oltre)"/>
    <x v="4"/>
  </r>
  <r>
    <n v="370"/>
    <d v="2014-05-05T00:00:00"/>
    <s v="Azzurri"/>
    <s v="Pesaro e Urbino"/>
    <s v="Giocattoli"/>
    <n v="1234"/>
    <n v="4"/>
    <s v="Marche"/>
    <s v="PS"/>
    <s v="CENTRO"/>
    <n v="83"/>
    <s v="Fascia 4 (da 1200 €  a meno di 1500 €)"/>
    <x v="2"/>
  </r>
  <r>
    <n v="371"/>
    <d v="2014-03-29T00:00:00"/>
    <s v="Bianchi"/>
    <s v="Terni"/>
    <s v="Cancelleria"/>
    <n v="186"/>
    <n v="3"/>
    <s v="Umbria"/>
    <s v="TR"/>
    <s v="CENTRO"/>
    <n v="87"/>
    <s v="Fascia 1 (inferiore a 400 €)"/>
    <x v="0"/>
  </r>
  <r>
    <n v="372"/>
    <d v="2014-05-03T00:00:00"/>
    <s v="Verdi"/>
    <s v="Pistoia"/>
    <s v="Cancelleria"/>
    <n v="556"/>
    <n v="4"/>
    <s v="Toscana"/>
    <s v="PT"/>
    <s v="CENTRO"/>
    <n v="84"/>
    <s v="Fascia 2 (da 400 €  a meno di 800 €)"/>
    <x v="2"/>
  </r>
  <r>
    <n v="373"/>
    <d v="2014-06-14T00:00:00"/>
    <s v="Rossi"/>
    <s v="Torino"/>
    <s v="Art. Regalo"/>
    <n v="408"/>
    <n v="5"/>
    <s v="Piemonte"/>
    <s v="TO"/>
    <s v="NORD"/>
    <n v="96"/>
    <s v="Fascia 2 (da 400 €  a meno di 800 €)"/>
    <x v="1"/>
  </r>
  <r>
    <n v="374"/>
    <d v="2014-03-08T00:00:00"/>
    <s v="Rossi"/>
    <s v="Vibo Valentia"/>
    <s v="Libri"/>
    <n v="754"/>
    <n v="3"/>
    <s v="Calabria"/>
    <s v="VV"/>
    <s v="SUD"/>
    <n v="96"/>
    <s v="Fascia 2 (da 400 €  a meno di 800 €)"/>
    <x v="0"/>
  </r>
  <r>
    <n v="375"/>
    <d v="2014-01-06T00:00:00"/>
    <s v="Bianchi"/>
    <s v="Verbano-Cusio-Ossola"/>
    <s v="Libri"/>
    <n v="131"/>
    <n v="1"/>
    <s v="Piemonte"/>
    <s v="VB"/>
    <s v="NORD"/>
    <n v="87"/>
    <s v="Fascia 1 (inferiore a 400 €)"/>
    <x v="3"/>
  </r>
  <r>
    <n v="376"/>
    <d v="2014-02-22T00:00:00"/>
    <s v="Verdi"/>
    <s v="Sassari"/>
    <s v="Giocattoli"/>
    <n v="1494"/>
    <n v="5"/>
    <s v="Sardegna"/>
    <s v="SS"/>
    <s v="ISOLE"/>
    <n v="84"/>
    <s v="Fascia 4 (da 1200 €  a meno di 1500 €)"/>
    <x v="1"/>
  </r>
  <r>
    <n v="377"/>
    <d v="2014-04-24T00:00:00"/>
    <s v="Rossi"/>
    <s v="Verbano-Cusio-Ossola"/>
    <s v="Art. Regalo"/>
    <n v="1960"/>
    <n v="5"/>
    <s v="Piemonte"/>
    <s v="VB"/>
    <s v="NORD"/>
    <n v="96"/>
    <s v="Fascia 5 (da 1500 € e oltre)"/>
    <x v="1"/>
  </r>
  <r>
    <n v="378"/>
    <d v="2014-02-19T00:00:00"/>
    <s v="Bianchi"/>
    <s v="Ragusa"/>
    <s v="Art. Regalo"/>
    <n v="1586"/>
    <n v="4"/>
    <s v="Sicilia"/>
    <s v="RG"/>
    <s v="ISOLE"/>
    <n v="87"/>
    <s v="Fascia 5 (da 1500 € e oltre)"/>
    <x v="2"/>
  </r>
  <r>
    <n v="379"/>
    <d v="2014-02-12T00:00:00"/>
    <s v="Azzurri"/>
    <s v="Pisa"/>
    <s v="Cancelleria"/>
    <n v="255"/>
    <n v="1"/>
    <s v="Toscana"/>
    <s v="PI"/>
    <s v="CENTRO"/>
    <n v="83"/>
    <s v="Fascia 1 (inferiore a 400 €)"/>
    <x v="3"/>
  </r>
  <r>
    <n v="380"/>
    <d v="2014-01-20T00:00:00"/>
    <s v="Gialli"/>
    <s v="Sondrio"/>
    <s v="Giocattoli"/>
    <n v="1469"/>
    <n v="2"/>
    <s v="Lombardia"/>
    <s v="SO"/>
    <s v="NORD"/>
    <n v="80"/>
    <s v="Fascia 4 (da 1200 €  a meno di 1500 €)"/>
    <x v="4"/>
  </r>
  <r>
    <n v="381"/>
    <d v="2014-03-31T00:00:00"/>
    <s v="Azzurri"/>
    <s v="Pesaro e Urbino"/>
    <s v="Art. Regalo"/>
    <n v="1321"/>
    <n v="4"/>
    <s v="Marche"/>
    <s v="PS"/>
    <s v="CENTRO"/>
    <n v="83"/>
    <s v="Fascia 4 (da 1200 €  a meno di 1500 €)"/>
    <x v="2"/>
  </r>
  <r>
    <n v="382"/>
    <d v="2014-04-12T00:00:00"/>
    <s v="Bianchi"/>
    <s v="Treviso"/>
    <s v="Giocattoli"/>
    <n v="735"/>
    <n v="2"/>
    <s v="Veneto"/>
    <s v="TV"/>
    <s v="NORD"/>
    <n v="87"/>
    <s v="Fascia 2 (da 400 €  a meno di 800 €)"/>
    <x v="4"/>
  </r>
  <r>
    <n v="383"/>
    <d v="2014-04-03T00:00:00"/>
    <s v="Verdi"/>
    <s v="Siena"/>
    <s v="Art. Regalo"/>
    <n v="153"/>
    <n v="3"/>
    <s v="Toscana"/>
    <s v="SI"/>
    <s v="CENTRO"/>
    <n v="84"/>
    <s v="Fascia 1 (inferiore a 400 €)"/>
    <x v="0"/>
  </r>
  <r>
    <n v="384"/>
    <d v="2014-03-29T00:00:00"/>
    <s v="Neri"/>
    <s v="Pistoia"/>
    <s v="Giocattoli"/>
    <n v="1474"/>
    <n v="1"/>
    <s v="Toscana"/>
    <s v="PT"/>
    <s v="CENTRO"/>
    <n v="70"/>
    <s v="Fascia 4 (da 1200 €  a meno di 1500 €)"/>
    <x v="3"/>
  </r>
  <r>
    <n v="385"/>
    <d v="2014-05-17T00:00:00"/>
    <s v="Bianchi"/>
    <s v="Rovigo"/>
    <s v="Art. Regalo"/>
    <n v="1108"/>
    <n v="2"/>
    <s v="Veneto"/>
    <s v="RO"/>
    <s v="NORD"/>
    <n v="87"/>
    <s v="Fascia 3 (da 800 €  a meno di 1200 €)"/>
    <x v="4"/>
  </r>
  <r>
    <n v="386"/>
    <d v="2014-05-07T00:00:00"/>
    <s v="Verdi"/>
    <s v="Perugia"/>
    <s v="Cancelleria"/>
    <n v="1430"/>
    <n v="4"/>
    <s v="Umbria"/>
    <s v="PG"/>
    <s v="CENTRO"/>
    <n v="84"/>
    <s v="Fascia 4 (da 1200 €  a meno di 1500 €)"/>
    <x v="2"/>
  </r>
  <r>
    <n v="387"/>
    <d v="2014-02-10T00:00:00"/>
    <s v="Verdi"/>
    <s v="Roma"/>
    <s v="Art. Regalo"/>
    <n v="788"/>
    <n v="5"/>
    <s v="Lazio"/>
    <s v="RM"/>
    <s v="CENTRO"/>
    <n v="84"/>
    <s v="Fascia 2 (da 400 €  a meno di 800 €)"/>
    <x v="1"/>
  </r>
  <r>
    <n v="388"/>
    <d v="2014-05-15T00:00:00"/>
    <s v="Verdi"/>
    <s v="Viterbo"/>
    <s v="Art. Regalo"/>
    <n v="1362"/>
    <n v="3"/>
    <s v="Lazio"/>
    <s v="VT"/>
    <s v="CENTRO"/>
    <n v="84"/>
    <s v="Fascia 4 (da 1200 €  a meno di 1500 €)"/>
    <x v="0"/>
  </r>
  <r>
    <n v="389"/>
    <d v="2014-02-25T00:00:00"/>
    <s v="Neri"/>
    <s v="Vibo Valentia"/>
    <s v="Informatica"/>
    <n v="744"/>
    <n v="3"/>
    <s v="Calabria"/>
    <s v="VV"/>
    <s v="SUD"/>
    <n v="70"/>
    <s v="Fascia 2 (da 400 €  a meno di 800 €)"/>
    <x v="0"/>
  </r>
  <r>
    <n v="390"/>
    <d v="2014-05-16T00:00:00"/>
    <s v="Verdi"/>
    <s v="Venezia"/>
    <s v="Informatica"/>
    <n v="1252"/>
    <n v="2"/>
    <s v="Veneto"/>
    <s v="VE"/>
    <s v="NORD"/>
    <n v="84"/>
    <s v="Fascia 4 (da 1200 €  a meno di 1500 €)"/>
    <x v="4"/>
  </r>
  <r>
    <n v="391"/>
    <d v="2014-05-03T00:00:00"/>
    <s v="Verdi"/>
    <s v="Savona"/>
    <s v="Art. Regalo"/>
    <n v="1378"/>
    <n v="3"/>
    <s v="Liguria"/>
    <s v="SV"/>
    <s v="NORD"/>
    <n v="84"/>
    <s v="Fascia 4 (da 1200 €  a meno di 1500 €)"/>
    <x v="0"/>
  </r>
  <r>
    <n v="392"/>
    <d v="2014-02-12T00:00:00"/>
    <s v="Rossi"/>
    <s v="Perugia"/>
    <s v="Informatica"/>
    <n v="192"/>
    <n v="5"/>
    <s v="Umbria"/>
    <s v="PG"/>
    <s v="CENTRO"/>
    <n v="96"/>
    <s v="Fascia 1 (inferiore a 400 €)"/>
    <x v="1"/>
  </r>
  <r>
    <n v="393"/>
    <d v="2014-06-24T00:00:00"/>
    <s v="Gialli"/>
    <s v="Sondrio"/>
    <s v="Art. Regalo"/>
    <n v="1876"/>
    <n v="2"/>
    <s v="Lombardia"/>
    <s v="SO"/>
    <s v="NORD"/>
    <n v="80"/>
    <s v="Fascia 5 (da 1500 € e oltre)"/>
    <x v="4"/>
  </r>
  <r>
    <n v="394"/>
    <d v="2014-04-22T00:00:00"/>
    <s v="Verdi"/>
    <s v="Reggio di Calabria"/>
    <s v="Informatica"/>
    <n v="1640"/>
    <n v="1"/>
    <s v="Calabria"/>
    <s v="RC"/>
    <s v="SUD"/>
    <n v="84"/>
    <s v="Fascia 5 (da 1500 € e oltre)"/>
    <x v="3"/>
  </r>
  <r>
    <n v="395"/>
    <d v="2014-02-16T00:00:00"/>
    <s v="Neri"/>
    <s v="Verbano-Cusio-Ossola"/>
    <s v="Libri"/>
    <n v="848"/>
    <n v="4"/>
    <s v="Piemonte"/>
    <s v="VB"/>
    <s v="NORD"/>
    <n v="70"/>
    <s v="Fascia 3 (da 800 €  a meno di 1200 €)"/>
    <x v="2"/>
  </r>
  <r>
    <n v="396"/>
    <d v="2014-01-12T00:00:00"/>
    <s v="Rossi"/>
    <s v="Venezia"/>
    <s v="Informatica"/>
    <n v="692"/>
    <n v="1"/>
    <s v="Veneto"/>
    <s v="VE"/>
    <s v="NORD"/>
    <n v="96"/>
    <s v="Fascia 2 (da 400 €  a meno di 800 €)"/>
    <x v="3"/>
  </r>
  <r>
    <n v="397"/>
    <d v="2014-01-07T00:00:00"/>
    <s v="Gialli"/>
    <s v="Prato"/>
    <s v="Informatica"/>
    <n v="549"/>
    <n v="1"/>
    <s v="Toscana"/>
    <s v="PO"/>
    <s v="CENTRO"/>
    <n v="80"/>
    <s v="Fascia 2 (da 400 €  a meno di 800 €)"/>
    <x v="3"/>
  </r>
  <r>
    <n v="398"/>
    <d v="2014-02-24T00:00:00"/>
    <s v="Verdi"/>
    <s v="Ravenna"/>
    <s v="Art. Regalo"/>
    <n v="1482"/>
    <n v="2"/>
    <s v="Emilia-Romagna"/>
    <s v="RA"/>
    <s v="NORD"/>
    <n v="84"/>
    <s v="Fascia 4 (da 1200 €  a meno di 1500 €)"/>
    <x v="4"/>
  </r>
  <r>
    <n v="399"/>
    <d v="2014-03-02T00:00:00"/>
    <s v="Rossi"/>
    <s v="Pisa"/>
    <s v="Giocattoli"/>
    <n v="3"/>
    <n v="5"/>
    <s v="Toscana"/>
    <s v="PI"/>
    <s v="CENTRO"/>
    <n v="96"/>
    <s v="Fascia 1 (inferiore a 400 €)"/>
    <x v="1"/>
  </r>
  <r>
    <n v="400"/>
    <d v="2014-04-19T00:00:00"/>
    <s v="Neri"/>
    <s v="Treviso"/>
    <s v="Art. Regalo"/>
    <n v="467"/>
    <n v="3"/>
    <s v="Veneto"/>
    <s v="TV"/>
    <s v="NORD"/>
    <n v="70"/>
    <s v="Fascia 2 (da 400 €  a meno di 800 €)"/>
    <x v="0"/>
  </r>
  <r>
    <n v="401"/>
    <d v="2014-06-21T00:00:00"/>
    <s v="Rossi"/>
    <s v="Rimini"/>
    <s v="Cancelleria"/>
    <n v="1746"/>
    <n v="3"/>
    <s v="Emilia-Romagna"/>
    <s v="RN"/>
    <s v="NORD"/>
    <n v="96"/>
    <s v="Fascia 5 (da 1500 € e oltre)"/>
    <x v="0"/>
  </r>
  <r>
    <n v="402"/>
    <d v="2014-01-10T00:00:00"/>
    <s v="Gialli"/>
    <s v="Rieti"/>
    <s v="Cancelleria"/>
    <n v="681"/>
    <n v="4"/>
    <s v="Lazio"/>
    <s v="RI"/>
    <s v="CENTRO"/>
    <n v="80"/>
    <s v="Fascia 2 (da 400 €  a meno di 800 €)"/>
    <x v="2"/>
  </r>
  <r>
    <n v="403"/>
    <d v="2014-03-27T00:00:00"/>
    <s v="Neri"/>
    <s v="Ravenna"/>
    <s v="Giocattoli"/>
    <n v="136"/>
    <n v="3"/>
    <s v="Emilia-Romagna"/>
    <s v="RA"/>
    <s v="NORD"/>
    <n v="70"/>
    <s v="Fascia 1 (inferiore a 400 €)"/>
    <x v="0"/>
  </r>
  <r>
    <n v="404"/>
    <d v="2014-06-02T00:00:00"/>
    <s v="Verdi"/>
    <s v="Vibo Valentia"/>
    <s v="Informatica"/>
    <n v="1600"/>
    <n v="3"/>
    <s v="Calabria"/>
    <s v="VV"/>
    <s v="SUD"/>
    <n v="84"/>
    <s v="Fascia 5 (da 1500 € e oltre)"/>
    <x v="0"/>
  </r>
  <r>
    <n v="405"/>
    <d v="2014-03-23T00:00:00"/>
    <s v="Verdi"/>
    <s v="Viterbo"/>
    <s v="Cancelleria"/>
    <n v="1825"/>
    <n v="5"/>
    <s v="Lazio"/>
    <s v="VT"/>
    <s v="CENTRO"/>
    <n v="84"/>
    <s v="Fascia 5 (da 1500 € e oltre)"/>
    <x v="1"/>
  </r>
  <r>
    <n v="406"/>
    <d v="2014-04-01T00:00:00"/>
    <s v="Neri"/>
    <s v="Treviso"/>
    <s v="Cancelleria"/>
    <n v="957"/>
    <n v="1"/>
    <s v="Veneto"/>
    <s v="TV"/>
    <s v="NORD"/>
    <n v="70"/>
    <s v="Fascia 3 (da 800 €  a meno di 1200 €)"/>
    <x v="3"/>
  </r>
  <r>
    <n v="407"/>
    <d v="2014-06-23T00:00:00"/>
    <s v="Rossi"/>
    <s v="Savona"/>
    <s v="Libri"/>
    <n v="1941"/>
    <n v="5"/>
    <s v="Liguria"/>
    <s v="SV"/>
    <s v="NORD"/>
    <n v="96"/>
    <s v="Fascia 5 (da 1500 € e oltre)"/>
    <x v="1"/>
  </r>
  <r>
    <n v="408"/>
    <d v="2014-04-12T00:00:00"/>
    <s v="Verdi"/>
    <s v="Teramo"/>
    <s v="Art. Regalo"/>
    <n v="417"/>
    <n v="1"/>
    <s v="Abruzzo"/>
    <s v="TE"/>
    <s v="CENTRO"/>
    <n v="84"/>
    <s v="Fascia 2 (da 400 €  a meno di 800 €)"/>
    <x v="3"/>
  </r>
  <r>
    <n v="409"/>
    <d v="2014-02-25T00:00:00"/>
    <s v="Gialli"/>
    <s v="Vibo Valentia"/>
    <s v="Libri"/>
    <n v="1839"/>
    <n v="4"/>
    <s v="Calabria"/>
    <s v="VV"/>
    <s v="SUD"/>
    <n v="80"/>
    <s v="Fascia 5 (da 1500 € e oltre)"/>
    <x v="2"/>
  </r>
  <r>
    <n v="410"/>
    <d v="2014-02-05T00:00:00"/>
    <s v="Bianchi"/>
    <s v="Udine"/>
    <s v="Giocattoli"/>
    <n v="1647"/>
    <n v="1"/>
    <s v="Friuli-Venezia Giulia"/>
    <s v="UD"/>
    <s v="NORD"/>
    <n v="87"/>
    <s v="Fascia 5 (da 1500 € e oltre)"/>
    <x v="3"/>
  </r>
  <r>
    <n v="411"/>
    <d v="2014-03-13T00:00:00"/>
    <s v="Verdi"/>
    <s v="Ravenna"/>
    <s v="Libri"/>
    <n v="87"/>
    <n v="5"/>
    <s v="Emilia-Romagna"/>
    <s v="RA"/>
    <s v="NORD"/>
    <n v="84"/>
    <s v="Fascia 1 (inferiore a 400 €)"/>
    <x v="1"/>
  </r>
  <r>
    <n v="412"/>
    <d v="2014-03-22T00:00:00"/>
    <s v="Verdi"/>
    <s v="Pescara"/>
    <s v="Informatica"/>
    <n v="1123"/>
    <n v="2"/>
    <s v="Abruzzo"/>
    <s v="PE"/>
    <s v="CENTRO"/>
    <n v="84"/>
    <s v="Fascia 3 (da 800 €  a meno di 1200 €)"/>
    <x v="4"/>
  </r>
  <r>
    <n v="413"/>
    <d v="2014-01-15T00:00:00"/>
    <s v="Azzurri"/>
    <s v="Salerno"/>
    <s v="Libri"/>
    <n v="1881"/>
    <n v="1"/>
    <s v="Campania"/>
    <s v="SA"/>
    <s v="SUD"/>
    <n v="83"/>
    <s v="Fascia 5 (da 1500 € e oltre)"/>
    <x v="3"/>
  </r>
  <r>
    <n v="414"/>
    <d v="2014-03-09T00:00:00"/>
    <s v="Rossi"/>
    <s v="Pistoia"/>
    <s v="Libri"/>
    <n v="517"/>
    <n v="1"/>
    <s v="Toscana"/>
    <s v="PT"/>
    <s v="CENTRO"/>
    <n v="96"/>
    <s v="Fascia 2 (da 400 €  a meno di 800 €)"/>
    <x v="3"/>
  </r>
  <r>
    <n v="415"/>
    <d v="2014-01-23T00:00:00"/>
    <s v="Neri"/>
    <s v="Siena"/>
    <s v="Cancelleria"/>
    <n v="1662"/>
    <n v="3"/>
    <s v="Toscana"/>
    <s v="SI"/>
    <s v="CENTRO"/>
    <n v="70"/>
    <s v="Fascia 5 (da 1500 € e oltre)"/>
    <x v="0"/>
  </r>
  <r>
    <n v="416"/>
    <d v="2014-03-26T00:00:00"/>
    <s v="Neri"/>
    <s v="Venezia"/>
    <s v="Libri"/>
    <n v="540"/>
    <n v="4"/>
    <s v="Veneto"/>
    <s v="VE"/>
    <s v="NORD"/>
    <n v="70"/>
    <s v="Fascia 2 (da 400 €  a meno di 800 €)"/>
    <x v="2"/>
  </r>
  <r>
    <n v="417"/>
    <d v="2014-04-23T00:00:00"/>
    <s v="Bianchi"/>
    <s v="Reggio di Calabria"/>
    <s v="Informatica"/>
    <n v="207"/>
    <n v="1"/>
    <s v="Calabria"/>
    <s v="RC"/>
    <s v="SUD"/>
    <n v="87"/>
    <s v="Fascia 1 (inferiore a 400 €)"/>
    <x v="3"/>
  </r>
  <r>
    <n v="418"/>
    <d v="2014-02-15T00:00:00"/>
    <s v="Neri"/>
    <s v="Piacenza"/>
    <s v="Cancelleria"/>
    <n v="879"/>
    <n v="2"/>
    <s v="Emilia-Romagna"/>
    <s v="PC"/>
    <s v="NORD"/>
    <n v="70"/>
    <s v="Fascia 3 (da 800 €  a meno di 1200 €)"/>
    <x v="4"/>
  </r>
  <r>
    <n v="419"/>
    <d v="2014-02-26T00:00:00"/>
    <s v="Verdi"/>
    <s v="Ragusa"/>
    <s v="Libri"/>
    <n v="1602"/>
    <n v="5"/>
    <s v="Sicilia"/>
    <s v="RG"/>
    <s v="ISOLE"/>
    <n v="84"/>
    <s v="Fascia 5 (da 1500 € e oltre)"/>
    <x v="1"/>
  </r>
  <r>
    <n v="420"/>
    <d v="2014-02-20T00:00:00"/>
    <s v="Rossi"/>
    <s v="Potenza"/>
    <s v="Cancelleria"/>
    <n v="1061"/>
    <n v="1"/>
    <s v="Basilicata"/>
    <s v="PZ"/>
    <s v="SUD"/>
    <n v="96"/>
    <s v="Fascia 3 (da 800 €  a meno di 1200 €)"/>
    <x v="3"/>
  </r>
  <r>
    <n v="421"/>
    <d v="2014-03-16T00:00:00"/>
    <s v="Rossi"/>
    <s v="Pisa"/>
    <s v="Giocattoli"/>
    <n v="569"/>
    <n v="1"/>
    <s v="Toscana"/>
    <s v="PI"/>
    <s v="CENTRO"/>
    <n v="96"/>
    <s v="Fascia 2 (da 400 €  a meno di 800 €)"/>
    <x v="3"/>
  </r>
  <r>
    <n v="422"/>
    <d v="2014-06-03T00:00:00"/>
    <s v="Bianchi"/>
    <s v="Trapani"/>
    <s v="Libri"/>
    <n v="1479"/>
    <n v="3"/>
    <s v="Sicilia"/>
    <s v="TP"/>
    <s v="ISOLE"/>
    <n v="87"/>
    <s v="Fascia 4 (da 1200 €  a meno di 1500 €)"/>
    <x v="0"/>
  </r>
  <r>
    <n v="423"/>
    <d v="2014-04-22T00:00:00"/>
    <s v="Neri"/>
    <s v="Reggio di Calabria"/>
    <s v="Art. Regalo"/>
    <n v="1940"/>
    <n v="5"/>
    <s v="Calabria"/>
    <s v="RC"/>
    <s v="SUD"/>
    <n v="70"/>
    <s v="Fascia 5 (da 1500 € e oltre)"/>
    <x v="1"/>
  </r>
  <r>
    <n v="424"/>
    <d v="2014-03-07T00:00:00"/>
    <s v="Verdi"/>
    <s v="Terni"/>
    <s v="Cancelleria"/>
    <n v="1590"/>
    <n v="5"/>
    <s v="Umbria"/>
    <s v="TR"/>
    <s v="CENTRO"/>
    <n v="84"/>
    <s v="Fascia 5 (da 1500 € e oltre)"/>
    <x v="1"/>
  </r>
  <r>
    <n v="425"/>
    <d v="2014-05-03T00:00:00"/>
    <s v="Neri"/>
    <s v="Pistoia"/>
    <s v="Informatica"/>
    <n v="882"/>
    <n v="1"/>
    <s v="Toscana"/>
    <s v="PT"/>
    <s v="CENTRO"/>
    <n v="70"/>
    <s v="Fascia 3 (da 800 €  a meno di 1200 €)"/>
    <x v="3"/>
  </r>
  <r>
    <n v="426"/>
    <d v="2014-01-21T00:00:00"/>
    <s v="Rossi"/>
    <s v="Taranto"/>
    <s v="Informatica"/>
    <n v="593"/>
    <n v="2"/>
    <s v="Puglia"/>
    <s v="TA"/>
    <s v="SUD"/>
    <n v="96"/>
    <s v="Fascia 2 (da 400 €  a meno di 800 €)"/>
    <x v="4"/>
  </r>
  <r>
    <n v="427"/>
    <d v="2014-06-24T00:00:00"/>
    <s v="Gialli"/>
    <s v="Piacenza"/>
    <s v="Art. Regalo"/>
    <n v="1853"/>
    <n v="1"/>
    <s v="Emilia-Romagna"/>
    <s v="PC"/>
    <s v="NORD"/>
    <n v="80"/>
    <s v="Fascia 5 (da 1500 € e oltre)"/>
    <x v="3"/>
  </r>
  <r>
    <n v="428"/>
    <d v="2014-01-01T00:00:00"/>
    <s v="Verdi"/>
    <s v="Pisa"/>
    <s v="Libri"/>
    <n v="1276"/>
    <n v="3"/>
    <s v="Toscana"/>
    <s v="PI"/>
    <s v="CENTRO"/>
    <n v="84"/>
    <s v="Fascia 4 (da 1200 €  a meno di 1500 €)"/>
    <x v="0"/>
  </r>
  <r>
    <n v="429"/>
    <d v="2014-01-12T00:00:00"/>
    <s v="Bianchi"/>
    <s v="Perugia"/>
    <s v="Cancelleria"/>
    <n v="563"/>
    <n v="1"/>
    <s v="Umbria"/>
    <s v="PG"/>
    <s v="CENTRO"/>
    <n v="87"/>
    <s v="Fascia 2 (da 400 €  a meno di 800 €)"/>
    <x v="3"/>
  </r>
  <r>
    <n v="430"/>
    <d v="2014-02-07T00:00:00"/>
    <s v="Azzurri"/>
    <s v="Vibo Valentia"/>
    <s v="Informatica"/>
    <n v="114"/>
    <n v="4"/>
    <s v="Calabria"/>
    <s v="VV"/>
    <s v="SUD"/>
    <n v="83"/>
    <s v="Fascia 1 (inferiore a 400 €)"/>
    <x v="2"/>
  </r>
  <r>
    <n v="431"/>
    <d v="2014-01-23T00:00:00"/>
    <s v="Azzurri"/>
    <s v="Taranto"/>
    <s v="Libri"/>
    <n v="997"/>
    <n v="3"/>
    <s v="Puglia"/>
    <s v="TA"/>
    <s v="SUD"/>
    <n v="83"/>
    <s v="Fascia 3 (da 800 €  a meno di 1200 €)"/>
    <x v="0"/>
  </r>
  <r>
    <n v="432"/>
    <d v="2014-05-12T00:00:00"/>
    <s v="Rossi"/>
    <s v="Siena"/>
    <s v="Art. Regalo"/>
    <n v="492"/>
    <n v="1"/>
    <s v="Toscana"/>
    <s v="SI"/>
    <s v="CENTRO"/>
    <n v="96"/>
    <s v="Fascia 2 (da 400 €  a meno di 800 €)"/>
    <x v="3"/>
  </r>
  <r>
    <n v="433"/>
    <d v="2014-02-09T00:00:00"/>
    <s v="Gialli"/>
    <s v="Viterbo"/>
    <s v="Giocattoli"/>
    <n v="1722"/>
    <n v="3"/>
    <s v="Lazio"/>
    <s v="VT"/>
    <s v="CENTRO"/>
    <n v="80"/>
    <s v="Fascia 5 (da 1500 € e oltre)"/>
    <x v="0"/>
  </r>
  <r>
    <n v="434"/>
    <d v="2014-04-15T00:00:00"/>
    <s v="Rossi"/>
    <s v="Venezia"/>
    <s v="Informatica"/>
    <n v="1314"/>
    <n v="5"/>
    <s v="Veneto"/>
    <s v="VE"/>
    <s v="NORD"/>
    <n v="96"/>
    <s v="Fascia 4 (da 1200 €  a meno di 1500 €)"/>
    <x v="1"/>
  </r>
  <r>
    <n v="435"/>
    <d v="2014-02-11T00:00:00"/>
    <s v="Gialli"/>
    <s v="Rieti"/>
    <s v="Art. Regalo"/>
    <n v="702"/>
    <n v="2"/>
    <s v="Lazio"/>
    <s v="RI"/>
    <s v="CENTRO"/>
    <n v="80"/>
    <s v="Fascia 2 (da 400 €  a meno di 800 €)"/>
    <x v="4"/>
  </r>
  <r>
    <n v="436"/>
    <d v="2014-06-28T00:00:00"/>
    <s v="Bianchi"/>
    <s v="Sassari"/>
    <s v="Informatica"/>
    <n v="1090"/>
    <n v="2"/>
    <s v="Sardegna"/>
    <s v="SS"/>
    <s v="ISOLE"/>
    <n v="87"/>
    <s v="Fascia 3 (da 800 €  a meno di 1200 €)"/>
    <x v="4"/>
  </r>
  <r>
    <n v="437"/>
    <d v="2014-06-04T00:00:00"/>
    <s v="Azzurri"/>
    <s v="Siena"/>
    <s v="Cancelleria"/>
    <n v="1552"/>
    <n v="5"/>
    <s v="Toscana"/>
    <s v="SI"/>
    <s v="CENTRO"/>
    <n v="83"/>
    <s v="Fascia 5 (da 1500 € e oltre)"/>
    <x v="1"/>
  </r>
  <r>
    <n v="438"/>
    <d v="2014-03-25T00:00:00"/>
    <s v="Azzurri"/>
    <s v="Reggio di Calabria"/>
    <s v="Informatica"/>
    <n v="1087"/>
    <n v="4"/>
    <s v="Calabria"/>
    <s v="RC"/>
    <s v="SUD"/>
    <n v="83"/>
    <s v="Fascia 3 (da 800 €  a meno di 1200 €)"/>
    <x v="2"/>
  </r>
  <r>
    <n v="439"/>
    <d v="2014-04-26T00:00:00"/>
    <s v="Rossi"/>
    <s v="Potenza"/>
    <s v="Art. Regalo"/>
    <n v="665"/>
    <n v="4"/>
    <s v="Basilicata"/>
    <s v="PZ"/>
    <s v="SUD"/>
    <n v="96"/>
    <s v="Fascia 2 (da 400 €  a meno di 800 €)"/>
    <x v="2"/>
  </r>
  <r>
    <n v="440"/>
    <d v="2014-05-16T00:00:00"/>
    <s v="Azzurri"/>
    <s v="Verona"/>
    <s v="Giocattoli"/>
    <n v="1247"/>
    <n v="5"/>
    <s v="Veneto"/>
    <s v="VR"/>
    <s v="NORD"/>
    <n v="83"/>
    <s v="Fascia 4 (da 1200 €  a meno di 1500 €)"/>
    <x v="1"/>
  </r>
  <r>
    <n v="441"/>
    <d v="2014-06-28T00:00:00"/>
    <s v="Azzurri"/>
    <s v="Reggio nell'Emilia"/>
    <s v="Libri"/>
    <n v="1265"/>
    <n v="5"/>
    <s v="Emilia-Romagna"/>
    <s v="RE"/>
    <s v="NORD"/>
    <n v="83"/>
    <s v="Fascia 4 (da 1200 €  a meno di 1500 €)"/>
    <x v="1"/>
  </r>
  <r>
    <n v="442"/>
    <d v="2014-05-15T00:00:00"/>
    <s v="Verdi"/>
    <s v="Salerno"/>
    <s v="Giocattoli"/>
    <n v="828"/>
    <n v="3"/>
    <s v="Campania"/>
    <s v="SA"/>
    <s v="SUD"/>
    <n v="84"/>
    <s v="Fascia 3 (da 800 €  a meno di 1200 €)"/>
    <x v="0"/>
  </r>
  <r>
    <n v="443"/>
    <d v="2014-02-28T00:00:00"/>
    <s v="Verdi"/>
    <s v="Teramo"/>
    <s v="Giocattoli"/>
    <n v="1960"/>
    <n v="3"/>
    <s v="Abruzzo"/>
    <s v="TE"/>
    <s v="CENTRO"/>
    <n v="84"/>
    <s v="Fascia 5 (da 1500 € e oltre)"/>
    <x v="0"/>
  </r>
  <r>
    <n v="444"/>
    <d v="2014-01-26T00:00:00"/>
    <s v="Gialli"/>
    <s v="Pavia"/>
    <s v="Art. Regalo"/>
    <n v="120"/>
    <n v="4"/>
    <s v="Lombardia"/>
    <s v="PV"/>
    <s v="NORD"/>
    <n v="80"/>
    <s v="Fascia 1 (inferiore a 400 €)"/>
    <x v="2"/>
  </r>
  <r>
    <n v="445"/>
    <d v="2014-05-11T00:00:00"/>
    <s v="Bianchi"/>
    <s v="Roma"/>
    <s v="Art. Regalo"/>
    <n v="1951"/>
    <n v="3"/>
    <s v="Lazio"/>
    <s v="RM"/>
    <s v="CENTRO"/>
    <n v="87"/>
    <s v="Fascia 5 (da 1500 € e oltre)"/>
    <x v="0"/>
  </r>
  <r>
    <n v="446"/>
    <d v="2014-02-19T00:00:00"/>
    <s v="Azzurri"/>
    <s v="Pistoia"/>
    <s v="Art. Regalo"/>
    <n v="756"/>
    <n v="2"/>
    <s v="Toscana"/>
    <s v="PT"/>
    <s v="CENTRO"/>
    <n v="83"/>
    <s v="Fascia 2 (da 400 €  a meno di 800 €)"/>
    <x v="4"/>
  </r>
  <r>
    <n v="447"/>
    <d v="2014-06-07T00:00:00"/>
    <s v="Rossi"/>
    <s v="Vibo Valentia"/>
    <s v="Informatica"/>
    <n v="178"/>
    <n v="5"/>
    <s v="Calabria"/>
    <s v="VV"/>
    <s v="SUD"/>
    <n v="96"/>
    <s v="Fascia 1 (inferiore a 400 €)"/>
    <x v="1"/>
  </r>
  <r>
    <n v="448"/>
    <d v="2014-03-30T00:00:00"/>
    <s v="Bianchi"/>
    <s v="Trapani"/>
    <s v="Art. Regalo"/>
    <n v="912"/>
    <n v="4"/>
    <s v="Sicilia"/>
    <s v="TP"/>
    <s v="ISOLE"/>
    <n v="87"/>
    <s v="Fascia 3 (da 800 €  a meno di 1200 €)"/>
    <x v="2"/>
  </r>
  <r>
    <n v="449"/>
    <d v="2014-05-02T00:00:00"/>
    <s v="Azzurri"/>
    <s v="Savona"/>
    <s v="Art. Regalo"/>
    <n v="216"/>
    <n v="1"/>
    <s v="Liguria"/>
    <s v="SV"/>
    <s v="NORD"/>
    <n v="83"/>
    <s v="Fascia 1 (inferiore a 400 €)"/>
    <x v="3"/>
  </r>
  <r>
    <n v="450"/>
    <d v="2014-02-14T00:00:00"/>
    <s v="Azzurri"/>
    <s v="Venezia"/>
    <s v="Informatica"/>
    <n v="647"/>
    <n v="2"/>
    <s v="Veneto"/>
    <s v="VE"/>
    <s v="NORD"/>
    <n v="83"/>
    <s v="Fascia 2 (da 400 €  a meno di 800 €)"/>
    <x v="4"/>
  </r>
  <r>
    <n v="451"/>
    <d v="2014-04-13T00:00:00"/>
    <s v="Bianchi"/>
    <s v="Trapani"/>
    <s v="Informatica"/>
    <n v="1101"/>
    <n v="2"/>
    <s v="Sicilia"/>
    <s v="TP"/>
    <s v="ISOLE"/>
    <n v="87"/>
    <s v="Fascia 3 (da 800 €  a meno di 1200 €)"/>
    <x v="4"/>
  </r>
  <r>
    <n v="452"/>
    <d v="2014-02-18T00:00:00"/>
    <s v="Bianchi"/>
    <s v="Perugia"/>
    <s v="Libri"/>
    <n v="426"/>
    <n v="2"/>
    <s v="Umbria"/>
    <s v="PG"/>
    <s v="CENTRO"/>
    <n v="87"/>
    <s v="Fascia 2 (da 400 €  a meno di 800 €)"/>
    <x v="4"/>
  </r>
  <r>
    <n v="453"/>
    <d v="2014-03-06T00:00:00"/>
    <s v="Neri"/>
    <s v="Trapani"/>
    <s v="Informatica"/>
    <n v="1476"/>
    <n v="1"/>
    <s v="Sicilia"/>
    <s v="TP"/>
    <s v="ISOLE"/>
    <n v="70"/>
    <s v="Fascia 4 (da 1200 €  a meno di 1500 €)"/>
    <x v="3"/>
  </r>
  <r>
    <n v="454"/>
    <d v="2014-03-17T00:00:00"/>
    <s v="Rossi"/>
    <s v="Rieti"/>
    <s v="Informatica"/>
    <n v="1417"/>
    <n v="2"/>
    <s v="Lazio"/>
    <s v="RI"/>
    <s v="CENTRO"/>
    <n v="96"/>
    <s v="Fascia 4 (da 1200 €  a meno di 1500 €)"/>
    <x v="4"/>
  </r>
  <r>
    <n v="455"/>
    <d v="2014-06-09T00:00:00"/>
    <s v="Azzurri"/>
    <s v="Salerno"/>
    <s v="Libri"/>
    <n v="1715"/>
    <n v="2"/>
    <s v="Campania"/>
    <s v="SA"/>
    <s v="SUD"/>
    <n v="83"/>
    <s v="Fascia 5 (da 1500 € e oltre)"/>
    <x v="4"/>
  </r>
  <r>
    <n v="456"/>
    <d v="2014-05-26T00:00:00"/>
    <s v="Bianchi"/>
    <s v="Siena"/>
    <s v="Informatica"/>
    <n v="1289"/>
    <n v="4"/>
    <s v="Toscana"/>
    <s v="SI"/>
    <s v="CENTRO"/>
    <n v="87"/>
    <s v="Fascia 4 (da 1200 €  a meno di 1500 €)"/>
    <x v="2"/>
  </r>
  <r>
    <n v="457"/>
    <d v="2014-03-06T00:00:00"/>
    <s v="Gialli"/>
    <s v="Pesaro e Urbino"/>
    <s v="Art. Regalo"/>
    <n v="1427"/>
    <n v="5"/>
    <s v="Marche"/>
    <s v="PS"/>
    <s v="CENTRO"/>
    <n v="80"/>
    <s v="Fascia 4 (da 1200 €  a meno di 1500 €)"/>
    <x v="1"/>
  </r>
  <r>
    <n v="458"/>
    <d v="2014-02-08T00:00:00"/>
    <s v="Gialli"/>
    <s v="Sondrio"/>
    <s v="Cancelleria"/>
    <n v="445"/>
    <n v="5"/>
    <s v="Lombardia"/>
    <s v="SO"/>
    <s v="NORD"/>
    <n v="80"/>
    <s v="Fascia 2 (da 400 €  a meno di 800 €)"/>
    <x v="1"/>
  </r>
  <r>
    <n v="459"/>
    <d v="2014-05-17T00:00:00"/>
    <s v="Rossi"/>
    <s v="Rimini"/>
    <s v="Libri"/>
    <n v="1390"/>
    <n v="4"/>
    <s v="Emilia-Romagna"/>
    <s v="RN"/>
    <s v="NORD"/>
    <n v="96"/>
    <s v="Fascia 4 (da 1200 €  a meno di 1500 €)"/>
    <x v="2"/>
  </r>
  <r>
    <n v="460"/>
    <d v="2014-06-03T00:00:00"/>
    <s v="Verdi"/>
    <s v="Potenza"/>
    <s v="Informatica"/>
    <n v="1897"/>
    <n v="3"/>
    <s v="Basilicata"/>
    <s v="PZ"/>
    <s v="SUD"/>
    <n v="84"/>
    <s v="Fascia 5 (da 1500 € e oltre)"/>
    <x v="0"/>
  </r>
  <r>
    <n v="461"/>
    <d v="2014-02-20T00:00:00"/>
    <s v="Neri"/>
    <s v="Torino"/>
    <s v="Libri"/>
    <n v="713"/>
    <n v="5"/>
    <s v="Piemonte"/>
    <s v="TO"/>
    <s v="NORD"/>
    <n v="70"/>
    <s v="Fascia 2 (da 400 €  a meno di 800 €)"/>
    <x v="1"/>
  </r>
  <r>
    <n v="462"/>
    <d v="2014-04-17T00:00:00"/>
    <s v="Neri"/>
    <s v="Terni"/>
    <s v="Cancelleria"/>
    <n v="1509"/>
    <n v="2"/>
    <s v="Umbria"/>
    <s v="TR"/>
    <s v="CENTRO"/>
    <n v="70"/>
    <s v="Fascia 5 (da 1500 € e oltre)"/>
    <x v="4"/>
  </r>
  <r>
    <n v="463"/>
    <d v="2014-01-24T00:00:00"/>
    <s v="Rossi"/>
    <s v="Sassari"/>
    <s v="Art. Regalo"/>
    <n v="210"/>
    <n v="4"/>
    <s v="Sardegna"/>
    <s v="SS"/>
    <s v="ISOLE"/>
    <n v="96"/>
    <s v="Fascia 1 (inferiore a 400 €)"/>
    <x v="2"/>
  </r>
  <r>
    <n v="464"/>
    <d v="2014-04-26T00:00:00"/>
    <s v="Bianchi"/>
    <s v="Pescara"/>
    <s v="Cancelleria"/>
    <n v="660"/>
    <n v="3"/>
    <s v="Abruzzo"/>
    <s v="PE"/>
    <s v="CENTRO"/>
    <n v="87"/>
    <s v="Fascia 2 (da 400 €  a meno di 800 €)"/>
    <x v="0"/>
  </r>
  <r>
    <n v="465"/>
    <d v="2014-06-07T00:00:00"/>
    <s v="Rossi"/>
    <s v="Perugia"/>
    <s v="Art. Regalo"/>
    <n v="872"/>
    <n v="2"/>
    <s v="Umbria"/>
    <s v="PG"/>
    <s v="CENTRO"/>
    <n v="96"/>
    <s v="Fascia 3 (da 800 €  a meno di 1200 €)"/>
    <x v="4"/>
  </r>
  <r>
    <n v="466"/>
    <d v="2014-03-03T00:00:00"/>
    <s v="Rossi"/>
    <s v="Torino"/>
    <s v="Cancelleria"/>
    <n v="1225"/>
    <n v="5"/>
    <s v="Piemonte"/>
    <s v="TO"/>
    <s v="NORD"/>
    <n v="96"/>
    <s v="Fascia 4 (da 1200 €  a meno di 1500 €)"/>
    <x v="1"/>
  </r>
  <r>
    <n v="467"/>
    <d v="2014-01-21T00:00:00"/>
    <s v="Verdi"/>
    <s v="Sassari"/>
    <s v="Cancelleria"/>
    <n v="1916"/>
    <n v="5"/>
    <s v="Sardegna"/>
    <s v="SS"/>
    <s v="ISOLE"/>
    <n v="84"/>
    <s v="Fascia 5 (da 1500 € e oltre)"/>
    <x v="1"/>
  </r>
  <r>
    <n v="468"/>
    <d v="2014-06-12T00:00:00"/>
    <s v="Rossi"/>
    <s v="Verbano-Cusio-Ossola"/>
    <s v="Cancelleria"/>
    <n v="1173"/>
    <n v="2"/>
    <s v="Piemonte"/>
    <s v="VB"/>
    <s v="NORD"/>
    <n v="96"/>
    <s v="Fascia 3 (da 800 €  a meno di 1200 €)"/>
    <x v="4"/>
  </r>
  <r>
    <n v="469"/>
    <d v="2014-04-25T00:00:00"/>
    <s v="Azzurri"/>
    <s v="Roma"/>
    <s v="Libri"/>
    <n v="297"/>
    <n v="3"/>
    <s v="Lazio"/>
    <s v="RM"/>
    <s v="CENTRO"/>
    <n v="83"/>
    <s v="Fascia 1 (inferiore a 400 €)"/>
    <x v="0"/>
  </r>
  <r>
    <n v="470"/>
    <d v="2014-06-30T00:00:00"/>
    <s v="Bianchi"/>
    <s v="Viterbo"/>
    <s v="Libri"/>
    <n v="1244"/>
    <n v="5"/>
    <s v="Lazio"/>
    <s v="VT"/>
    <s v="CENTRO"/>
    <n v="87"/>
    <s v="Fascia 4 (da 1200 €  a meno di 1500 €)"/>
    <x v="1"/>
  </r>
  <r>
    <n v="471"/>
    <d v="2014-02-06T00:00:00"/>
    <s v="Bianchi"/>
    <s v="Verbano-Cusio-Ossola"/>
    <s v="Giocattoli"/>
    <n v="1099"/>
    <n v="4"/>
    <s v="Piemonte"/>
    <s v="VB"/>
    <s v="NORD"/>
    <n v="87"/>
    <s v="Fascia 3 (da 800 €  a meno di 1200 €)"/>
    <x v="2"/>
  </r>
  <r>
    <n v="472"/>
    <d v="2014-05-20T00:00:00"/>
    <s v="Verdi"/>
    <s v="Pordenone"/>
    <s v="Giocattoli"/>
    <n v="1448"/>
    <n v="1"/>
    <s v="Friuli-Venezia Giulia"/>
    <s v="PN"/>
    <s v="NORD"/>
    <n v="84"/>
    <s v="Fascia 4 (da 1200 €  a meno di 1500 €)"/>
    <x v="3"/>
  </r>
  <r>
    <n v="473"/>
    <d v="2014-02-25T00:00:00"/>
    <s v="Azzurri"/>
    <s v="Ragusa"/>
    <s v="Libri"/>
    <n v="155"/>
    <n v="5"/>
    <s v="Sicilia"/>
    <s v="RG"/>
    <s v="ISOLE"/>
    <n v="83"/>
    <s v="Fascia 1 (inferiore a 400 €)"/>
    <x v="1"/>
  </r>
  <r>
    <n v="474"/>
    <d v="2014-02-27T00:00:00"/>
    <s v="Rossi"/>
    <s v="Verbano-Cusio-Ossola"/>
    <s v="Cancelleria"/>
    <n v="214"/>
    <n v="2"/>
    <s v="Piemonte"/>
    <s v="VB"/>
    <s v="NORD"/>
    <n v="96"/>
    <s v="Fascia 1 (inferiore a 400 €)"/>
    <x v="4"/>
  </r>
  <r>
    <n v="475"/>
    <d v="2014-06-12T00:00:00"/>
    <s v="Azzurri"/>
    <s v="Trento"/>
    <s v="Informatica"/>
    <n v="1956"/>
    <n v="1"/>
    <s v="Trentino-Alto Adige"/>
    <s v="TN"/>
    <s v="NORD"/>
    <n v="83"/>
    <s v="Fascia 5 (da 1500 € e oltre)"/>
    <x v="3"/>
  </r>
  <r>
    <n v="476"/>
    <d v="2014-01-20T00:00:00"/>
    <s v="Rossi"/>
    <s v="Torino"/>
    <s v="Art. Regalo"/>
    <n v="1938"/>
    <n v="3"/>
    <s v="Piemonte"/>
    <s v="TO"/>
    <s v="NORD"/>
    <n v="96"/>
    <s v="Fascia 5 (da 1500 € e oltre)"/>
    <x v="0"/>
  </r>
  <r>
    <n v="477"/>
    <d v="2014-05-04T00:00:00"/>
    <s v="Azzurri"/>
    <s v="Terni"/>
    <s v="Giocattoli"/>
    <n v="336"/>
    <n v="5"/>
    <s v="Umbria"/>
    <s v="TR"/>
    <s v="CENTRO"/>
    <n v="83"/>
    <s v="Fascia 1 (inferiore a 400 €)"/>
    <x v="1"/>
  </r>
  <r>
    <n v="478"/>
    <d v="2014-01-01T00:00:00"/>
    <s v="Neri"/>
    <s v="Teramo"/>
    <s v="Giocattoli"/>
    <n v="1467"/>
    <n v="1"/>
    <s v="Abruzzo"/>
    <s v="TE"/>
    <s v="CENTRO"/>
    <n v="70"/>
    <s v="Fascia 4 (da 1200 €  a meno di 1500 €)"/>
    <x v="3"/>
  </r>
  <r>
    <n v="479"/>
    <d v="2014-06-04T00:00:00"/>
    <s v="Gialli"/>
    <s v="Potenza"/>
    <s v="Cancelleria"/>
    <n v="308"/>
    <n v="5"/>
    <s v="Basilicata"/>
    <s v="PZ"/>
    <s v="SUD"/>
    <n v="80"/>
    <s v="Fascia 1 (inferiore a 400 €)"/>
    <x v="1"/>
  </r>
  <r>
    <n v="480"/>
    <d v="2014-05-27T00:00:00"/>
    <s v="Azzurri"/>
    <s v="Trieste"/>
    <s v="Libri"/>
    <n v="1581"/>
    <n v="3"/>
    <s v="Friuli-Venezia Giulia"/>
    <s v="TS"/>
    <s v="NORD"/>
    <n v="83"/>
    <s v="Fascia 5 (da 1500 € e oltre)"/>
    <x v="0"/>
  </r>
  <r>
    <n v="481"/>
    <d v="2014-03-15T00:00:00"/>
    <s v="Bianchi"/>
    <s v="Vicenza"/>
    <s v="Giocattoli"/>
    <n v="539"/>
    <n v="5"/>
    <s v="Veneto"/>
    <s v="VI"/>
    <s v="NORD"/>
    <n v="87"/>
    <s v="Fascia 2 (da 400 €  a meno di 800 €)"/>
    <x v="1"/>
  </r>
  <r>
    <n v="482"/>
    <d v="2014-04-28T00:00:00"/>
    <s v="Rossi"/>
    <s v="Terni"/>
    <s v="Giocattoli"/>
    <n v="1847"/>
    <n v="1"/>
    <s v="Umbria"/>
    <s v="TR"/>
    <s v="CENTRO"/>
    <n v="96"/>
    <s v="Fascia 5 (da 1500 € e oltre)"/>
    <x v="3"/>
  </r>
  <r>
    <n v="483"/>
    <d v="2014-01-05T00:00:00"/>
    <s v="Gialli"/>
    <s v="Ravenna"/>
    <s v="Art. Regalo"/>
    <n v="495"/>
    <n v="3"/>
    <s v="Emilia-Romagna"/>
    <s v="RA"/>
    <s v="NORD"/>
    <n v="80"/>
    <s v="Fascia 2 (da 400 €  a meno di 800 €)"/>
    <x v="0"/>
  </r>
  <r>
    <n v="484"/>
    <d v="2014-01-11T00:00:00"/>
    <s v="Gialli"/>
    <s v="Siena"/>
    <s v="Cancelleria"/>
    <n v="369"/>
    <n v="5"/>
    <s v="Toscana"/>
    <s v="SI"/>
    <s v="CENTRO"/>
    <n v="80"/>
    <s v="Fascia 1 (inferiore a 400 €)"/>
    <x v="1"/>
  </r>
  <r>
    <n v="485"/>
    <d v="2014-05-24T00:00:00"/>
    <s v="Verdi"/>
    <s v="Verona"/>
    <s v="Informatica"/>
    <n v="1963"/>
    <n v="3"/>
    <s v="Veneto"/>
    <s v="VR"/>
    <s v="NORD"/>
    <n v="84"/>
    <s v="Fascia 5 (da 1500 € e oltre)"/>
    <x v="0"/>
  </r>
  <r>
    <n v="486"/>
    <d v="2014-05-28T00:00:00"/>
    <s v="Rossi"/>
    <s v="Salerno"/>
    <s v="Art. Regalo"/>
    <n v="1334"/>
    <n v="3"/>
    <s v="Campania"/>
    <s v="SA"/>
    <s v="SUD"/>
    <n v="96"/>
    <s v="Fascia 4 (da 1200 €  a meno di 1500 €)"/>
    <x v="0"/>
  </r>
  <r>
    <n v="487"/>
    <d v="2014-03-02T00:00:00"/>
    <s v="Rossi"/>
    <s v="Trieste"/>
    <s v="Cancelleria"/>
    <n v="886"/>
    <n v="2"/>
    <s v="Friuli-Venezia Giulia"/>
    <s v="TS"/>
    <s v="NORD"/>
    <n v="96"/>
    <s v="Fascia 3 (da 800 €  a meno di 1200 €)"/>
    <x v="4"/>
  </r>
  <r>
    <n v="488"/>
    <d v="2014-02-20T00:00:00"/>
    <s v="Bianchi"/>
    <s v="Trento"/>
    <s v="Libri"/>
    <n v="689"/>
    <n v="3"/>
    <s v="Trentino-Alto Adige"/>
    <s v="TN"/>
    <s v="NORD"/>
    <n v="87"/>
    <s v="Fascia 2 (da 400 €  a meno di 800 €)"/>
    <x v="0"/>
  </r>
  <r>
    <n v="489"/>
    <d v="2014-05-01T00:00:00"/>
    <s v="Bianchi"/>
    <s v="Treviso"/>
    <s v="Art. Regalo"/>
    <n v="1880"/>
    <n v="1"/>
    <s v="Veneto"/>
    <s v="TV"/>
    <s v="NORD"/>
    <n v="87"/>
    <s v="Fascia 5 (da 1500 € e oltre)"/>
    <x v="3"/>
  </r>
  <r>
    <n v="490"/>
    <d v="2014-01-28T00:00:00"/>
    <s v="Bianchi"/>
    <s v="Prato"/>
    <s v="Art. Regalo"/>
    <n v="1357"/>
    <n v="4"/>
    <s v="Toscana"/>
    <s v="PO"/>
    <s v="CENTRO"/>
    <n v="87"/>
    <s v="Fascia 4 (da 1200 €  a meno di 1500 €)"/>
    <x v="2"/>
  </r>
  <r>
    <n v="491"/>
    <d v="2014-02-17T00:00:00"/>
    <s v="Azzurri"/>
    <s v="Rieti"/>
    <s v="Libri"/>
    <n v="1007"/>
    <n v="5"/>
    <s v="Lazio"/>
    <s v="RI"/>
    <s v="CENTRO"/>
    <n v="83"/>
    <s v="Fascia 3 (da 800 €  a meno di 1200 €)"/>
    <x v="1"/>
  </r>
  <r>
    <n v="492"/>
    <d v="2014-02-14T00:00:00"/>
    <s v="Azzurri"/>
    <s v="Siracusa"/>
    <s v="Art. Regalo"/>
    <n v="1126"/>
    <n v="3"/>
    <s v="Sicilia"/>
    <s v="SR"/>
    <s v="ISOLE"/>
    <n v="83"/>
    <s v="Fascia 3 (da 800 €  a meno di 1200 €)"/>
    <x v="0"/>
  </r>
  <r>
    <n v="493"/>
    <d v="2014-02-17T00:00:00"/>
    <s v="Rossi"/>
    <s v="Rovigo"/>
    <s v="Giocattoli"/>
    <n v="1779"/>
    <n v="1"/>
    <s v="Veneto"/>
    <s v="RO"/>
    <s v="NORD"/>
    <n v="96"/>
    <s v="Fascia 5 (da 1500 € e oltre)"/>
    <x v="3"/>
  </r>
  <r>
    <n v="494"/>
    <d v="2014-02-28T00:00:00"/>
    <s v="Rossi"/>
    <s v="Roma"/>
    <s v="Giocattoli"/>
    <n v="668"/>
    <n v="1"/>
    <s v="Lazio"/>
    <s v="RM"/>
    <s v="CENTRO"/>
    <n v="96"/>
    <s v="Fascia 2 (da 400 €  a meno di 800 €)"/>
    <x v="3"/>
  </r>
  <r>
    <n v="495"/>
    <d v="2014-02-02T00:00:00"/>
    <s v="Azzurri"/>
    <s v="Trapani"/>
    <s v="Informatica"/>
    <n v="204"/>
    <n v="1"/>
    <s v="Sicilia"/>
    <s v="TP"/>
    <s v="ISOLE"/>
    <n v="83"/>
    <s v="Fascia 1 (inferiore a 400 €)"/>
    <x v="3"/>
  </r>
  <r>
    <n v="496"/>
    <d v="2014-06-22T00:00:00"/>
    <s v="Gialli"/>
    <s v="Potenza"/>
    <s v="Art. Regalo"/>
    <n v="1517"/>
    <n v="5"/>
    <s v="Basilicata"/>
    <s v="PZ"/>
    <s v="SUD"/>
    <n v="80"/>
    <s v="Fascia 5 (da 1500 € e oltre)"/>
    <x v="1"/>
  </r>
  <r>
    <n v="497"/>
    <d v="2014-04-12T00:00:00"/>
    <s v="Gialli"/>
    <s v="Savona"/>
    <s v="Informatica"/>
    <n v="840"/>
    <n v="1"/>
    <s v="Liguria"/>
    <s v="SV"/>
    <s v="NORD"/>
    <n v="80"/>
    <s v="Fascia 3 (da 800 €  a meno di 1200 €)"/>
    <x v="3"/>
  </r>
  <r>
    <n v="498"/>
    <d v="2014-05-03T00:00:00"/>
    <s v="Bianchi"/>
    <s v="Ragusa"/>
    <s v="Informatica"/>
    <n v="1724"/>
    <n v="1"/>
    <s v="Sicilia"/>
    <s v="RG"/>
    <s v="ISOLE"/>
    <n v="87"/>
    <s v="Fascia 5 (da 1500 € e oltre)"/>
    <x v="3"/>
  </r>
  <r>
    <n v="499"/>
    <d v="2014-02-21T00:00:00"/>
    <s v="Rossi"/>
    <s v="Vibo Valentia"/>
    <s v="Informatica"/>
    <n v="951"/>
    <n v="3"/>
    <s v="Calabria"/>
    <s v="VV"/>
    <s v="SUD"/>
    <n v="96"/>
    <s v="Fascia 3 (da 800 €  a meno di 1200 €)"/>
    <x v="0"/>
  </r>
  <r>
    <n v="500"/>
    <d v="2014-03-20T00:00:00"/>
    <s v="Verdi"/>
    <s v="Trapani"/>
    <s v="Cancelleria"/>
    <n v="1892"/>
    <n v="4"/>
    <s v="Sicilia"/>
    <s v="TP"/>
    <s v="ISOLE"/>
    <n v="84"/>
    <s v="Fascia 5 (da 1500 € e oltre)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061.5999999999999"/>
    <n v="1088.7857142857142"/>
    <n v="1240.4375"/>
    <n v="856.76470588235293"/>
    <n v="1097.5714285714287"/>
    <n v="1067.8072289156626"/>
  </r>
  <r>
    <x v="1"/>
    <n v="1039.8095238095239"/>
    <n v="664"/>
    <n v="1077.047619047619"/>
    <n v="1223.8666666666666"/>
    <n v="1131.4000000000001"/>
    <n v="1058.3908045977012"/>
  </r>
  <r>
    <x v="2"/>
    <n v="1065.7272727272727"/>
    <n v="927.73684210526312"/>
    <n v="998.07142857142856"/>
    <n v="956.53846153846155"/>
    <n v="1116.3333333333333"/>
    <n v="1010.9625"/>
  </r>
  <r>
    <x v="3"/>
    <n v="1182.7333333333333"/>
    <n v="1108.1666666666667"/>
    <n v="1032.3571428571429"/>
    <n v="1019.6428571428571"/>
    <n v="760.4666666666667"/>
    <n v="1016.7714285714286"/>
  </r>
  <r>
    <x v="4"/>
    <n v="963.36842105263156"/>
    <n v="1067"/>
    <n v="859.29411764705878"/>
    <n v="1024.9444444444443"/>
    <n v="936.35"/>
    <n v="974.60416666666663"/>
  </r>
  <r>
    <x v="5"/>
    <n v="913.61111111111109"/>
    <n v="899.5454545454545"/>
    <n v="1138.2666666666667"/>
    <n v="1359.2142857142858"/>
    <n v="982.6"/>
    <n v="1036.6309523809523"/>
  </r>
  <r>
    <x v="6"/>
    <n v="1033.5999999999999"/>
    <n v="970.42424242424238"/>
    <n v="1057.4536082474226"/>
    <n v="1067.1538461538462"/>
    <n v="1009.1844660194175"/>
    <n v="1026.79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15"/>
    <n v="1090"/>
    <n v="1805"/>
  </r>
  <r>
    <x v="1"/>
    <m/>
    <n v="1090"/>
    <n v="1090"/>
  </r>
  <r>
    <x v="2"/>
    <n v="715"/>
    <m/>
    <n v="715"/>
  </r>
  <r>
    <x v="3"/>
    <n v="1421"/>
    <m/>
    <n v="1421"/>
  </r>
  <r>
    <x v="4"/>
    <n v="1421"/>
    <m/>
    <n v="1421"/>
  </r>
  <r>
    <x v="5"/>
    <n v="2501"/>
    <m/>
    <n v="2501"/>
  </r>
  <r>
    <x v="4"/>
    <n v="3"/>
    <m/>
    <n v="3"/>
  </r>
  <r>
    <x v="1"/>
    <n v="1916"/>
    <m/>
    <n v="1916"/>
  </r>
  <r>
    <x v="2"/>
    <n v="582"/>
    <m/>
    <n v="582"/>
  </r>
  <r>
    <x v="6"/>
    <n v="4637"/>
    <n v="1090"/>
    <n v="572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8993"/>
    <n v="18166"/>
    <n v="18737"/>
    <n v="12190"/>
    <n v="16234"/>
    <n v="74320"/>
  </r>
  <r>
    <x v="1"/>
    <n v="24821"/>
    <n v="13396"/>
    <n v="22665"/>
    <n v="16942"/>
    <n v="20553"/>
    <n v="98377"/>
  </r>
  <r>
    <x v="2"/>
    <n v="14467"/>
    <n v="15587"/>
    <n v="10142"/>
    <n v="20558"/>
    <n v="15611"/>
    <n v="76365"/>
  </r>
  <r>
    <x v="3"/>
    <n v="22590"/>
    <n v="13960"/>
    <n v="14922"/>
    <n v="18124"/>
    <n v="14466"/>
    <n v="84062"/>
  </r>
  <r>
    <x v="4"/>
    <n v="20012"/>
    <n v="16914"/>
    <n v="24718"/>
    <n v="13463"/>
    <n v="14273"/>
    <n v="89380"/>
  </r>
  <r>
    <x v="5"/>
    <n v="22813"/>
    <n v="18049"/>
    <n v="11389"/>
    <n v="15834"/>
    <n v="22809"/>
    <n v="90894"/>
  </r>
  <r>
    <x v="6"/>
    <n v="113696"/>
    <n v="96072"/>
    <n v="102573"/>
    <n v="97111"/>
    <n v="103946"/>
    <n v="513398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8"/>
    <n v="13"/>
    <n v="16"/>
    <n v="13"/>
    <n v="14"/>
    <n v="17"/>
    <n v="91"/>
  </r>
  <r>
    <x v="1"/>
    <n v="15"/>
    <n v="14"/>
    <n v="10"/>
    <n v="12"/>
    <n v="14"/>
    <n v="16"/>
    <n v="81"/>
  </r>
  <r>
    <x v="2"/>
    <n v="15"/>
    <n v="19"/>
    <n v="14"/>
    <n v="18"/>
    <n v="20"/>
    <n v="13"/>
    <n v="99"/>
  </r>
  <r>
    <x v="3"/>
    <n v="10"/>
    <n v="17"/>
    <n v="17"/>
    <n v="11"/>
    <n v="27"/>
    <n v="15"/>
    <n v="97"/>
  </r>
  <r>
    <x v="4"/>
    <n v="25"/>
    <n v="24"/>
    <n v="23"/>
    <n v="16"/>
    <n v="21"/>
    <n v="23"/>
    <n v="132"/>
  </r>
  <r>
    <x v="5"/>
    <n v="83"/>
    <n v="87"/>
    <n v="80"/>
    <n v="70"/>
    <n v="96"/>
    <n v="84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F6409-BBDE-42DA-87F9-D2C1B3D7A4DA}" name="Tabella pivot10" cacheId="2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F18:N20" firstHeaderRow="1" firstDataRow="2" firstDataCol="1"/>
  <pivotFields count="7">
    <pivotField axis="axisCol" showAll="0">
      <items count="8">
        <item x="0"/>
        <item x="1"/>
        <item x="2"/>
        <item x="3"/>
        <item x="4"/>
        <item x="6"/>
        <item x="5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ma di Art. Regalo" fld="1" baseField="0" baseItem="0" numFmtId="164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8D239-0D72-4B49-93C9-306E80330C08}" name="Tabella pivot1" cacheId="19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Agente" colHeaderCaption="Settore">
  <location ref="A3:G11" firstHeaderRow="1" firstDataRow="2" firstDataCol="1"/>
  <pivotFields count="9">
    <pivotField showAll="0"/>
    <pivotField numFmtId="14" showAll="0">
      <items count="170">
        <item x="146"/>
        <item x="13"/>
        <item x="20"/>
        <item x="48"/>
        <item x="122"/>
        <item x="120"/>
        <item x="69"/>
        <item x="93"/>
        <item x="73"/>
        <item x="74"/>
        <item x="71"/>
        <item x="98"/>
        <item x="84"/>
        <item x="140"/>
        <item x="148"/>
        <item x="99"/>
        <item x="50"/>
        <item x="147"/>
        <item x="57"/>
        <item x="39"/>
        <item x="65"/>
        <item x="30"/>
        <item x="4"/>
        <item x="115"/>
        <item x="143"/>
        <item x="112"/>
        <item x="45"/>
        <item x="23"/>
        <item x="128"/>
        <item x="51"/>
        <item x="119"/>
        <item x="54"/>
        <item x="15"/>
        <item x="105"/>
        <item x="62"/>
        <item x="87"/>
        <item x="125"/>
        <item x="81"/>
        <item x="44"/>
        <item x="101"/>
        <item x="67"/>
        <item x="150"/>
        <item x="109"/>
        <item x="77"/>
        <item x="117"/>
        <item x="129"/>
        <item x="159"/>
        <item x="142"/>
        <item x="167"/>
        <item x="124"/>
        <item x="118"/>
        <item x="2"/>
        <item x="91"/>
        <item x="76"/>
        <item x="107"/>
        <item x="78"/>
        <item x="42"/>
        <item x="56"/>
        <item x="5"/>
        <item x="96"/>
        <item x="139"/>
        <item x="110"/>
        <item x="123"/>
        <item x="106"/>
        <item x="162"/>
        <item x="108"/>
        <item x="34"/>
        <item x="14"/>
        <item x="72"/>
        <item x="1"/>
        <item x="61"/>
        <item x="38"/>
        <item x="36"/>
        <item x="168"/>
        <item x="0"/>
        <item x="17"/>
        <item x="46"/>
        <item x="9"/>
        <item x="64"/>
        <item x="55"/>
        <item x="97"/>
        <item x="82"/>
        <item x="158"/>
        <item x="25"/>
        <item x="32"/>
        <item x="135"/>
        <item x="85"/>
        <item x="156"/>
        <item x="28"/>
        <item x="18"/>
        <item x="126"/>
        <item x="6"/>
        <item x="41"/>
        <item x="19"/>
        <item x="160"/>
        <item x="7"/>
        <item x="66"/>
        <item x="52"/>
        <item x="53"/>
        <item x="136"/>
        <item x="127"/>
        <item x="145"/>
        <item x="68"/>
        <item x="43"/>
        <item x="161"/>
        <item x="133"/>
        <item x="102"/>
        <item x="8"/>
        <item x="86"/>
        <item x="153"/>
        <item x="132"/>
        <item x="113"/>
        <item x="130"/>
        <item x="155"/>
        <item x="164"/>
        <item x="60"/>
        <item x="151"/>
        <item x="141"/>
        <item x="33"/>
        <item x="29"/>
        <item x="134"/>
        <item x="79"/>
        <item x="137"/>
        <item x="35"/>
        <item x="100"/>
        <item x="11"/>
        <item x="89"/>
        <item x="111"/>
        <item x="12"/>
        <item x="75"/>
        <item x="166"/>
        <item x="16"/>
        <item x="22"/>
        <item x="144"/>
        <item x="31"/>
        <item x="10"/>
        <item x="95"/>
        <item x="26"/>
        <item x="40"/>
        <item x="131"/>
        <item x="94"/>
        <item x="149"/>
        <item x="58"/>
        <item x="83"/>
        <item x="88"/>
        <item x="121"/>
        <item x="47"/>
        <item x="163"/>
        <item x="27"/>
        <item x="104"/>
        <item x="90"/>
        <item x="24"/>
        <item x="59"/>
        <item x="154"/>
        <item x="103"/>
        <item x="49"/>
        <item x="80"/>
        <item x="152"/>
        <item x="3"/>
        <item x="37"/>
        <item x="63"/>
        <item x="157"/>
        <item x="138"/>
        <item x="116"/>
        <item x="21"/>
        <item x="114"/>
        <item x="70"/>
        <item x="92"/>
        <item x="165"/>
        <item t="default"/>
      </items>
    </pivotField>
    <pivotField axis="axisRow" showAll="0">
      <items count="7">
        <item x="2"/>
        <item x="1"/>
        <item x="5"/>
        <item x="0"/>
        <item x="3"/>
        <item x="4"/>
        <item t="default"/>
      </items>
    </pivotField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dataField="1" numFmtId="164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edia di Fatturato " fld="5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9AF66-FA1B-4D9C-BF2F-B26E13B8A19E}" name="Tabella pivot11" cacheId="23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B18:D22" firstHeaderRow="0" firstDataRow="1" firstDataCol="1"/>
  <pivotFields count="4">
    <pivotField axis="axisRow" showAll="0">
      <items count="8">
        <item x="0"/>
        <item x="3"/>
        <item h="1" x="4"/>
        <item h="1" x="1"/>
        <item h="1" x="6"/>
        <item h="1" x="2"/>
        <item x="5"/>
        <item t="default"/>
      </items>
    </pivotField>
    <pivotField dataField="1" showAll="0"/>
    <pivotField dataField="1" showAll="0"/>
    <pivotField numFmtId="164" showAll="0"/>
  </pivotFields>
  <rowFields count="1">
    <field x="0"/>
  </rowFields>
  <rowItems count="4">
    <i>
      <x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Cancelleria" fld="1" baseField="0" baseItem="0"/>
    <dataField name="Somma di Informatica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3FADE-872E-4BDE-A8AA-523D2BE7BA76}" name="Tabella pivot2" cacheId="19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14" firstHeaderRow="1" firstDataRow="2" firstDataCol="1"/>
  <pivotFields count="9">
    <pivotField showAll="0"/>
    <pivotField numFmtId="14" showAll="0">
      <items count="170">
        <item x="146"/>
        <item x="13"/>
        <item x="20"/>
        <item x="48"/>
        <item x="122"/>
        <item x="120"/>
        <item x="69"/>
        <item x="93"/>
        <item x="73"/>
        <item x="74"/>
        <item x="71"/>
        <item x="98"/>
        <item x="84"/>
        <item x="140"/>
        <item x="148"/>
        <item x="99"/>
        <item x="50"/>
        <item x="147"/>
        <item x="57"/>
        <item x="39"/>
        <item x="65"/>
        <item x="30"/>
        <item x="4"/>
        <item x="115"/>
        <item x="143"/>
        <item x="112"/>
        <item x="45"/>
        <item x="23"/>
        <item x="128"/>
        <item x="51"/>
        <item x="119"/>
        <item x="54"/>
        <item x="15"/>
        <item x="105"/>
        <item x="62"/>
        <item x="87"/>
        <item x="125"/>
        <item x="81"/>
        <item x="44"/>
        <item x="101"/>
        <item x="67"/>
        <item x="150"/>
        <item x="109"/>
        <item x="77"/>
        <item x="117"/>
        <item x="129"/>
        <item x="159"/>
        <item x="142"/>
        <item x="167"/>
        <item x="124"/>
        <item x="118"/>
        <item x="2"/>
        <item x="91"/>
        <item x="76"/>
        <item x="107"/>
        <item x="78"/>
        <item x="42"/>
        <item x="56"/>
        <item x="5"/>
        <item x="96"/>
        <item x="139"/>
        <item x="110"/>
        <item x="123"/>
        <item x="106"/>
        <item x="162"/>
        <item x="108"/>
        <item x="34"/>
        <item x="14"/>
        <item x="72"/>
        <item x="1"/>
        <item x="61"/>
        <item x="38"/>
        <item x="36"/>
        <item x="168"/>
        <item x="0"/>
        <item x="17"/>
        <item x="46"/>
        <item x="9"/>
        <item x="64"/>
        <item x="55"/>
        <item x="97"/>
        <item x="82"/>
        <item x="158"/>
        <item x="25"/>
        <item x="32"/>
        <item x="135"/>
        <item x="85"/>
        <item x="156"/>
        <item x="28"/>
        <item x="18"/>
        <item x="126"/>
        <item x="6"/>
        <item x="41"/>
        <item x="19"/>
        <item x="160"/>
        <item x="7"/>
        <item x="66"/>
        <item x="52"/>
        <item x="53"/>
        <item x="136"/>
        <item x="127"/>
        <item x="145"/>
        <item x="68"/>
        <item x="43"/>
        <item x="161"/>
        <item x="133"/>
        <item x="102"/>
        <item x="8"/>
        <item x="86"/>
        <item x="153"/>
        <item x="132"/>
        <item x="113"/>
        <item x="130"/>
        <item x="155"/>
        <item x="164"/>
        <item x="60"/>
        <item x="151"/>
        <item x="141"/>
        <item x="33"/>
        <item x="29"/>
        <item x="134"/>
        <item x="79"/>
        <item x="137"/>
        <item x="35"/>
        <item x="100"/>
        <item x="11"/>
        <item x="89"/>
        <item x="111"/>
        <item x="12"/>
        <item x="75"/>
        <item x="166"/>
        <item x="16"/>
        <item x="22"/>
        <item x="144"/>
        <item x="31"/>
        <item x="10"/>
        <item x="95"/>
        <item x="26"/>
        <item x="40"/>
        <item x="131"/>
        <item x="94"/>
        <item x="149"/>
        <item x="58"/>
        <item x="83"/>
        <item x="88"/>
        <item x="121"/>
        <item x="47"/>
        <item x="163"/>
        <item x="27"/>
        <item x="104"/>
        <item x="90"/>
        <item x="24"/>
        <item x="59"/>
        <item x="154"/>
        <item x="103"/>
        <item x="49"/>
        <item x="80"/>
        <item x="152"/>
        <item x="3"/>
        <item x="37"/>
        <item x="63"/>
        <item x="157"/>
        <item x="138"/>
        <item x="116"/>
        <item x="21"/>
        <item x="114"/>
        <item x="70"/>
        <item x="92"/>
        <item x="165"/>
        <item t="default"/>
      </items>
    </pivotField>
    <pivotField axis="axisRow" showAll="0">
      <items count="7">
        <item h="1" sd="0" x="2"/>
        <item x="1"/>
        <item h="1" sd="0" x="5"/>
        <item x="0"/>
        <item h="1" sd="0" x="3"/>
        <item x="4"/>
        <item t="default"/>
      </items>
    </pivotField>
    <pivotField axis="axisRow" multipleItemSelectionAllowed="1" showAll="0">
      <items count="42">
        <item h="1" x="13"/>
        <item h="1" x="32"/>
        <item h="1" x="21"/>
        <item h="1" x="39"/>
        <item h="1" x="0"/>
        <item h="1" x="4"/>
        <item h="1" x="1"/>
        <item h="1" x="33"/>
        <item h="1" x="10"/>
        <item h="1" x="29"/>
        <item h="1" x="26"/>
        <item h="1" x="3"/>
        <item h="1" x="30"/>
        <item h="1" x="11"/>
        <item h="1" x="38"/>
        <item h="1" x="8"/>
        <item h="1" x="36"/>
        <item x="17"/>
        <item h="1" x="25"/>
        <item x="6"/>
        <item h="1" x="14"/>
        <item h="1" x="9"/>
        <item h="1" x="37"/>
        <item h="1" x="19"/>
        <item h="1" x="40"/>
        <item h="1" x="31"/>
        <item h="1" x="28"/>
        <item h="1" x="24"/>
        <item h="1" x="18"/>
        <item x="22"/>
        <item h="1" x="12"/>
        <item h="1" x="7"/>
        <item h="1" x="34"/>
        <item h="1" x="35"/>
        <item h="1" x="15"/>
        <item h="1" x="2"/>
        <item h="1" x="5"/>
        <item h="1" x="16"/>
        <item h="1" x="27"/>
        <item h="1" x="20"/>
        <item h="1" x="23"/>
        <item t="default"/>
      </items>
    </pivotField>
    <pivotField axis="axisCol" showAll="0">
      <items count="6">
        <item h="1" x="2"/>
        <item x="3"/>
        <item h="1" x="4"/>
        <item x="1"/>
        <item h="1" x="0"/>
        <item t="default"/>
      </items>
    </pivotField>
    <pivotField dataField="1" numFmtId="164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10">
    <i>
      <x v="1"/>
    </i>
    <i r="1">
      <x v="19"/>
    </i>
    <i r="1">
      <x v="29"/>
    </i>
    <i>
      <x v="3"/>
    </i>
    <i r="1">
      <x v="17"/>
    </i>
    <i>
      <x v="5"/>
    </i>
    <i r="1">
      <x v="17"/>
    </i>
    <i r="1">
      <x v="19"/>
    </i>
    <i r="1">
      <x v="29"/>
    </i>
    <i t="grand">
      <x/>
    </i>
  </rowItems>
  <colFields count="1">
    <field x="4"/>
  </colFields>
  <colItems count="3">
    <i>
      <x v="1"/>
    </i>
    <i>
      <x v="3"/>
    </i>
    <i t="grand">
      <x/>
    </i>
  </colItems>
  <dataFields count="1">
    <dataField name="Somma di Fatturato 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8DFFC-78AE-4840-8BAD-F504EB53A0DD}" name="Tabella pivot12" cacheId="23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B17:G25" firstHeaderRow="0" firstDataRow="1" firstDataCol="1"/>
  <pivotFields count="7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a di Art. Regalo" fld="1" baseField="0" baseItem="0" numFmtId="164"/>
    <dataField name="Somma di Cancelleria" fld="2" baseField="0" baseItem="0" numFmtId="164"/>
    <dataField name="Somma di Giocattoli" fld="3" baseField="0" baseItem="0" numFmtId="164"/>
    <dataField name="Somma di Informatica" fld="4" baseField="0" baseItem="0" numFmtId="164"/>
    <dataField name="Somma di Libri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A70CF-FF7B-42B0-918C-F2D4CEE998EC}" name="Tabella pivot3" cacheId="19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Mesi" colHeaderCaption="Settore">
  <location ref="A3:G11" firstHeaderRow="1" firstDataRow="2" firstDataCol="1"/>
  <pivotFields count="9">
    <pivotField showAll="0"/>
    <pivotField numFmtId="14" showAll="0">
      <items count="170">
        <item x="146"/>
        <item x="13"/>
        <item x="20"/>
        <item x="48"/>
        <item x="122"/>
        <item x="120"/>
        <item x="69"/>
        <item x="93"/>
        <item x="73"/>
        <item x="74"/>
        <item x="71"/>
        <item x="98"/>
        <item x="84"/>
        <item x="140"/>
        <item x="148"/>
        <item x="99"/>
        <item x="50"/>
        <item x="147"/>
        <item x="57"/>
        <item x="39"/>
        <item x="65"/>
        <item x="30"/>
        <item x="4"/>
        <item x="115"/>
        <item x="143"/>
        <item x="112"/>
        <item x="45"/>
        <item x="23"/>
        <item x="128"/>
        <item x="51"/>
        <item x="119"/>
        <item x="54"/>
        <item x="15"/>
        <item x="105"/>
        <item x="62"/>
        <item x="87"/>
        <item x="125"/>
        <item x="81"/>
        <item x="44"/>
        <item x="101"/>
        <item x="67"/>
        <item x="150"/>
        <item x="109"/>
        <item x="77"/>
        <item x="117"/>
        <item x="129"/>
        <item x="159"/>
        <item x="142"/>
        <item x="167"/>
        <item x="124"/>
        <item x="118"/>
        <item x="2"/>
        <item x="91"/>
        <item x="76"/>
        <item x="107"/>
        <item x="78"/>
        <item x="42"/>
        <item x="56"/>
        <item x="5"/>
        <item x="96"/>
        <item x="139"/>
        <item x="110"/>
        <item x="123"/>
        <item x="106"/>
        <item x="162"/>
        <item x="108"/>
        <item x="34"/>
        <item x="14"/>
        <item x="72"/>
        <item x="1"/>
        <item x="61"/>
        <item x="38"/>
        <item x="36"/>
        <item x="168"/>
        <item x="0"/>
        <item x="17"/>
        <item x="46"/>
        <item x="9"/>
        <item x="64"/>
        <item x="55"/>
        <item x="97"/>
        <item x="82"/>
        <item x="158"/>
        <item x="25"/>
        <item x="32"/>
        <item x="135"/>
        <item x="85"/>
        <item x="156"/>
        <item x="28"/>
        <item x="18"/>
        <item x="126"/>
        <item x="6"/>
        <item x="41"/>
        <item x="19"/>
        <item x="160"/>
        <item x="7"/>
        <item x="66"/>
        <item x="52"/>
        <item x="53"/>
        <item x="136"/>
        <item x="127"/>
        <item x="145"/>
        <item x="68"/>
        <item x="43"/>
        <item x="161"/>
        <item x="133"/>
        <item x="102"/>
        <item x="8"/>
        <item x="86"/>
        <item x="153"/>
        <item x="132"/>
        <item x="113"/>
        <item x="130"/>
        <item x="155"/>
        <item x="164"/>
        <item x="60"/>
        <item x="151"/>
        <item x="141"/>
        <item x="33"/>
        <item x="29"/>
        <item x="134"/>
        <item x="79"/>
        <item x="137"/>
        <item x="35"/>
        <item x="100"/>
        <item x="11"/>
        <item x="89"/>
        <item x="111"/>
        <item x="12"/>
        <item x="75"/>
        <item x="166"/>
        <item x="16"/>
        <item x="22"/>
        <item x="144"/>
        <item x="31"/>
        <item x="10"/>
        <item x="95"/>
        <item x="26"/>
        <item x="40"/>
        <item x="131"/>
        <item x="94"/>
        <item x="149"/>
        <item x="58"/>
        <item x="83"/>
        <item x="88"/>
        <item x="121"/>
        <item x="47"/>
        <item x="163"/>
        <item x="27"/>
        <item x="104"/>
        <item x="90"/>
        <item x="24"/>
        <item x="59"/>
        <item x="154"/>
        <item x="103"/>
        <item x="49"/>
        <item x="80"/>
        <item x="152"/>
        <item x="3"/>
        <item x="37"/>
        <item x="63"/>
        <item x="157"/>
        <item x="138"/>
        <item x="116"/>
        <item x="21"/>
        <item x="114"/>
        <item x="70"/>
        <item x="92"/>
        <item x="165"/>
        <item t="default"/>
      </items>
    </pivotField>
    <pivotField showAll="0"/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dataField="1" numFmtId="164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Fatturato Settore/mes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6D7EC-9F61-4971-895A-56D18B84F8C6}" name="Tabella pivot4" cacheId="20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 rowHeaderCaption="Regione" colHeaderCaption="Settore">
  <location ref="A3:G23" firstHeaderRow="1" firstDataRow="2" firstDataCol="1"/>
  <pivotFields count="11">
    <pivotField showAll="0"/>
    <pivotField numFmtId="14" showAll="0">
      <items count="170">
        <item x="146"/>
        <item x="13"/>
        <item x="20"/>
        <item x="48"/>
        <item x="122"/>
        <item x="120"/>
        <item x="69"/>
        <item x="93"/>
        <item x="73"/>
        <item x="74"/>
        <item x="71"/>
        <item x="98"/>
        <item x="84"/>
        <item x="140"/>
        <item x="148"/>
        <item x="99"/>
        <item x="50"/>
        <item x="147"/>
        <item x="57"/>
        <item x="39"/>
        <item x="65"/>
        <item x="30"/>
        <item x="4"/>
        <item x="115"/>
        <item x="143"/>
        <item x="112"/>
        <item x="45"/>
        <item x="23"/>
        <item x="128"/>
        <item x="51"/>
        <item x="119"/>
        <item x="54"/>
        <item x="15"/>
        <item x="105"/>
        <item x="62"/>
        <item x="87"/>
        <item x="125"/>
        <item x="81"/>
        <item x="44"/>
        <item x="101"/>
        <item x="67"/>
        <item x="150"/>
        <item x="109"/>
        <item x="77"/>
        <item x="117"/>
        <item x="129"/>
        <item x="159"/>
        <item x="142"/>
        <item x="167"/>
        <item x="124"/>
        <item x="118"/>
        <item x="2"/>
        <item x="91"/>
        <item x="76"/>
        <item x="107"/>
        <item x="78"/>
        <item x="42"/>
        <item x="56"/>
        <item x="5"/>
        <item x="96"/>
        <item x="139"/>
        <item x="110"/>
        <item x="123"/>
        <item x="106"/>
        <item x="162"/>
        <item x="108"/>
        <item x="34"/>
        <item x="14"/>
        <item x="72"/>
        <item x="1"/>
        <item x="61"/>
        <item x="38"/>
        <item x="36"/>
        <item x="168"/>
        <item x="0"/>
        <item x="17"/>
        <item x="46"/>
        <item x="9"/>
        <item x="64"/>
        <item x="55"/>
        <item x="97"/>
        <item x="82"/>
        <item x="158"/>
        <item x="25"/>
        <item x="32"/>
        <item x="135"/>
        <item x="85"/>
        <item x="156"/>
        <item x="28"/>
        <item x="18"/>
        <item x="126"/>
        <item x="6"/>
        <item x="41"/>
        <item x="19"/>
        <item x="160"/>
        <item x="7"/>
        <item x="66"/>
        <item x="52"/>
        <item x="53"/>
        <item x="136"/>
        <item x="127"/>
        <item x="145"/>
        <item x="68"/>
        <item x="43"/>
        <item x="161"/>
        <item x="133"/>
        <item x="102"/>
        <item x="8"/>
        <item x="86"/>
        <item x="153"/>
        <item x="132"/>
        <item x="113"/>
        <item x="130"/>
        <item x="155"/>
        <item x="164"/>
        <item x="60"/>
        <item x="151"/>
        <item x="141"/>
        <item x="33"/>
        <item x="29"/>
        <item x="134"/>
        <item x="79"/>
        <item x="137"/>
        <item x="35"/>
        <item x="100"/>
        <item x="11"/>
        <item x="89"/>
        <item x="111"/>
        <item x="12"/>
        <item x="75"/>
        <item x="166"/>
        <item x="16"/>
        <item x="22"/>
        <item x="144"/>
        <item x="31"/>
        <item x="10"/>
        <item x="95"/>
        <item x="26"/>
        <item x="40"/>
        <item x="131"/>
        <item x="94"/>
        <item x="149"/>
        <item x="58"/>
        <item x="83"/>
        <item x="88"/>
        <item x="121"/>
        <item x="47"/>
        <item x="163"/>
        <item x="27"/>
        <item x="104"/>
        <item x="90"/>
        <item x="24"/>
        <item x="59"/>
        <item x="154"/>
        <item x="103"/>
        <item x="49"/>
        <item x="80"/>
        <item x="152"/>
        <item x="3"/>
        <item x="37"/>
        <item x="63"/>
        <item x="157"/>
        <item x="138"/>
        <item x="116"/>
        <item x="21"/>
        <item x="114"/>
        <item x="70"/>
        <item x="92"/>
        <item x="165"/>
        <item t="default"/>
      </items>
    </pivotField>
    <pivotField showAll="0"/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dataField="1" numFmtId="164" showAll="0"/>
    <pivotField numFmtId="1" showAll="0"/>
    <pivotField axis="axisRow" showAll="0">
      <items count="19">
        <item x="16"/>
        <item x="5"/>
        <item x="14"/>
        <item x="13"/>
        <item x="0"/>
        <item x="4"/>
        <item x="12"/>
        <item x="8"/>
        <item x="7"/>
        <item x="10"/>
        <item x="2"/>
        <item x="17"/>
        <item x="3"/>
        <item x="9"/>
        <item x="1"/>
        <item x="11"/>
        <item x="15"/>
        <item x="6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Fatturato medio " fld="5" subtotal="average" baseField="7" baseItem="0" numFmtId="164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6D0A2-3892-4D01-B22E-97DBFFB28225}" name="Tabella pivot5" cacheId="20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3:F11" firstHeaderRow="1" firstDataRow="2" firstDataCol="1"/>
  <pivotFields count="13">
    <pivotField showAll="0"/>
    <pivotField numFmtId="14" showAll="0">
      <items count="170">
        <item x="146"/>
        <item x="13"/>
        <item x="20"/>
        <item x="48"/>
        <item x="122"/>
        <item x="120"/>
        <item x="69"/>
        <item x="93"/>
        <item x="73"/>
        <item x="74"/>
        <item x="71"/>
        <item x="98"/>
        <item x="84"/>
        <item x="140"/>
        <item x="148"/>
        <item x="99"/>
        <item x="50"/>
        <item x="147"/>
        <item x="57"/>
        <item x="39"/>
        <item x="65"/>
        <item x="30"/>
        <item x="4"/>
        <item x="115"/>
        <item x="143"/>
        <item x="112"/>
        <item x="45"/>
        <item x="23"/>
        <item x="128"/>
        <item x="51"/>
        <item x="119"/>
        <item x="54"/>
        <item x="15"/>
        <item x="105"/>
        <item x="62"/>
        <item x="87"/>
        <item x="125"/>
        <item x="81"/>
        <item x="44"/>
        <item x="101"/>
        <item x="67"/>
        <item x="150"/>
        <item x="109"/>
        <item x="77"/>
        <item x="117"/>
        <item x="129"/>
        <item x="159"/>
        <item x="142"/>
        <item x="167"/>
        <item x="124"/>
        <item x="118"/>
        <item x="2"/>
        <item x="91"/>
        <item x="76"/>
        <item x="107"/>
        <item x="78"/>
        <item x="42"/>
        <item x="56"/>
        <item x="5"/>
        <item x="96"/>
        <item x="139"/>
        <item x="110"/>
        <item x="123"/>
        <item x="106"/>
        <item x="162"/>
        <item x="108"/>
        <item x="34"/>
        <item x="14"/>
        <item x="72"/>
        <item x="1"/>
        <item x="61"/>
        <item x="38"/>
        <item x="36"/>
        <item x="168"/>
        <item x="0"/>
        <item x="17"/>
        <item x="46"/>
        <item x="9"/>
        <item x="64"/>
        <item x="55"/>
        <item x="97"/>
        <item x="82"/>
        <item x="158"/>
        <item x="25"/>
        <item x="32"/>
        <item x="135"/>
        <item x="85"/>
        <item x="156"/>
        <item x="28"/>
        <item x="18"/>
        <item x="126"/>
        <item x="6"/>
        <item x="41"/>
        <item x="19"/>
        <item x="160"/>
        <item x="7"/>
        <item x="66"/>
        <item x="52"/>
        <item x="53"/>
        <item x="136"/>
        <item x="127"/>
        <item x="145"/>
        <item x="68"/>
        <item x="43"/>
        <item x="161"/>
        <item x="133"/>
        <item x="102"/>
        <item x="8"/>
        <item x="86"/>
        <item x="153"/>
        <item x="132"/>
        <item x="113"/>
        <item x="130"/>
        <item x="155"/>
        <item x="164"/>
        <item x="60"/>
        <item x="151"/>
        <item x="141"/>
        <item x="33"/>
        <item x="29"/>
        <item x="134"/>
        <item x="79"/>
        <item x="137"/>
        <item x="35"/>
        <item x="100"/>
        <item x="11"/>
        <item x="89"/>
        <item x="111"/>
        <item x="12"/>
        <item x="75"/>
        <item x="166"/>
        <item x="16"/>
        <item x="22"/>
        <item x="144"/>
        <item x="31"/>
        <item x="10"/>
        <item x="95"/>
        <item x="26"/>
        <item x="40"/>
        <item x="131"/>
        <item x="94"/>
        <item x="149"/>
        <item x="58"/>
        <item x="83"/>
        <item x="88"/>
        <item x="121"/>
        <item x="47"/>
        <item x="163"/>
        <item x="27"/>
        <item x="104"/>
        <item x="90"/>
        <item x="24"/>
        <item x="59"/>
        <item x="154"/>
        <item x="103"/>
        <item x="49"/>
        <item x="80"/>
        <item x="152"/>
        <item x="3"/>
        <item x="37"/>
        <item x="63"/>
        <item x="157"/>
        <item x="138"/>
        <item x="116"/>
        <item x="21"/>
        <item x="114"/>
        <item x="70"/>
        <item x="92"/>
        <item x="165"/>
        <item t="default"/>
      </items>
    </pivotField>
    <pivotField axis="axisRow"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numFmtId="164" showAll="0"/>
    <pivotField numFmtI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Vedite" fld="10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6018C-BC99-4308-A70C-39513FCD789D}" name="Tabella pivot14" cacheId="2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B18:H25" firstHeaderRow="0" firstDataRow="1" firstDataCol="1"/>
  <pivotFields count="8">
    <pivotField axis="axisRow" showAll="0">
      <items count="7">
        <item x="0"/>
        <item x="3"/>
        <item x="2"/>
        <item x="1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a di Azzurri" fld="1" baseField="0" baseItem="0"/>
    <dataField name="Somma di Bianchi" fld="2" baseField="0" baseItem="0"/>
    <dataField name="Somma di Gialli" fld="3" baseField="0" baseItem="0"/>
    <dataField name="Somma di Neri" fld="4" baseField="0" baseItem="0"/>
    <dataField name="Somma di Rossi" fld="5" baseField="0" baseItem="0"/>
    <dataField name="Somma di Verdi" fld="6" baseField="0" baseItem="0"/>
  </dataFields>
  <chartFormats count="6">
    <chartFormat chart="0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2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6CB82-26C7-4ACE-8E3E-A856F3A1FE7A}" name="Tabella pivot7" cacheId="19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Fascia" colHeaderCaption="Venditore">
  <location ref="A3:H10" firstHeaderRow="1" firstDataRow="2" firstDataCol="1"/>
  <pivotFields count="11">
    <pivotField numFmtId="14" showAll="0"/>
    <pivotField axis="axisCol"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numFmtId="164" showAll="0"/>
    <pivotField numFmtId="1" showAll="0"/>
    <pivotField showAll="0"/>
    <pivotField showAll="0"/>
    <pivotField showAll="0"/>
    <pivotField dataField="1" showAll="0"/>
    <pivotField axis="axisRow" showAll="0">
      <items count="11">
        <item m="1" x="5"/>
        <item m="1" x="8"/>
        <item m="1" x="7"/>
        <item m="1" x="6"/>
        <item m="1" x="9"/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Nr vendite per fascia e agente" fld="9" subtotal="count" baseField="10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3B47B-5AEB-458B-A0D2-8CA456AA2A7D}" name="Tabella pivot8" cacheId="2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 rowHeaderCaption="Zone/Regioni" colHeaderCaption="Settore">
  <location ref="A3:E27" firstHeaderRow="1" firstDataRow="2" firstDataCol="1"/>
  <pivotFields count="12">
    <pivotField showAll="0"/>
    <pivotField numFmtId="14" showAll="0"/>
    <pivotField showAll="0"/>
    <pivotField showAll="0"/>
    <pivotField axis="axisCol" showAll="0">
      <items count="6">
        <item h="1" x="2"/>
        <item x="3"/>
        <item h="1" x="4"/>
        <item x="1"/>
        <item x="0"/>
        <item t="default"/>
      </items>
    </pivotField>
    <pivotField dataField="1" numFmtId="164" showAll="0"/>
    <pivotField numFmtId="1" showAll="0"/>
    <pivotField axis="axisRow" showAll="0">
      <items count="19">
        <item x="16"/>
        <item x="5"/>
        <item x="14"/>
        <item x="13"/>
        <item x="0"/>
        <item x="4"/>
        <item x="12"/>
        <item x="8"/>
        <item x="7"/>
        <item x="10"/>
        <item x="2"/>
        <item x="17"/>
        <item x="3"/>
        <item x="9"/>
        <item x="1"/>
        <item x="11"/>
        <item x="15"/>
        <item x="6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2">
    <field x="9"/>
    <field x="7"/>
  </rowFields>
  <rowItems count="23">
    <i>
      <x/>
    </i>
    <i r="1">
      <x/>
    </i>
    <i r="1">
      <x v="6"/>
    </i>
    <i r="1">
      <x v="9"/>
    </i>
    <i r="1">
      <x v="14"/>
    </i>
    <i r="1">
      <x v="16"/>
    </i>
    <i>
      <x v="1"/>
    </i>
    <i r="1">
      <x v="12"/>
    </i>
    <i r="1">
      <x v="13"/>
    </i>
    <i>
      <x v="2"/>
    </i>
    <i r="1">
      <x v="4"/>
    </i>
    <i r="1">
      <x v="5"/>
    </i>
    <i r="1">
      <x v="7"/>
    </i>
    <i r="1">
      <x v="8"/>
    </i>
    <i r="1">
      <x v="10"/>
    </i>
    <i r="1">
      <x v="15"/>
    </i>
    <i r="1">
      <x v="17"/>
    </i>
    <i>
      <x v="3"/>
    </i>
    <i r="1">
      <x v="1"/>
    </i>
    <i r="1">
      <x v="2"/>
    </i>
    <i r="1">
      <x v="3"/>
    </i>
    <i r="1">
      <x v="11"/>
    </i>
    <i t="grand">
      <x/>
    </i>
  </rowItems>
  <colFields count="1">
    <field x="4"/>
  </colFields>
  <colItems count="4">
    <i>
      <x v="1"/>
    </i>
    <i>
      <x v="3"/>
    </i>
    <i>
      <x v="4"/>
    </i>
    <i t="grand">
      <x/>
    </i>
  </colItems>
  <dataFields count="1">
    <dataField name="Fatturato per:" fld="5" baseField="0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3DDBE-7508-4626-9404-48113AF9D887}" name="Tabella pivot9" cacheId="22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 rowHeaderCaption="Tipo di pagamento">
  <location ref="A3:C9" firstHeaderRow="0" firstDataRow="1" firstDataCol="1"/>
  <pivotFields count="13">
    <pivotField showAll="0"/>
    <pivotField numFmtId="14" showAll="0"/>
    <pivotField showAll="0"/>
    <pivotField showAll="0"/>
    <pivotField showAll="0"/>
    <pivotField dataField="1" numFmtId="164" showAll="0"/>
    <pivotField numFmtId="1"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3"/>
        <item x="0"/>
        <item x="4"/>
        <item x="2"/>
        <item x="1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% rispetto al fatturato complessivo" fld="5" showDataAs="percentOfTotal" baseField="12" baseItem="0" numFmtId="10"/>
    <dataField name="% rispetto al numero di vendite complessivo" fld="10" subtotal="count" showDataAs="percentOfTotal" baseField="12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pane ySplit="4692"/>
      <selection activeCell="G7" sqref="G7"/>
      <selection pane="bottomLeft" activeCell="I501" sqref="I501"/>
    </sheetView>
  </sheetViews>
  <sheetFormatPr defaultRowHeight="14.4" x14ac:dyDescent="0.3"/>
  <cols>
    <col min="1" max="1" width="10.21875" bestFit="1" customWidth="1"/>
    <col min="2" max="2" width="10.6640625" style="7" bestFit="1" customWidth="1"/>
    <col min="3" max="3" width="9.88671875" bestFit="1" customWidth="1"/>
    <col min="4" max="4" width="21" bestFit="1" customWidth="1"/>
    <col min="5" max="5" width="11.109375" bestFit="1" customWidth="1"/>
    <col min="6" max="6" width="11" bestFit="1" customWidth="1"/>
    <col min="7" max="7" width="11" style="16" customWidth="1"/>
    <col min="8" max="8" width="17" bestFit="1" customWidth="1"/>
    <col min="12" max="12" width="32.21875" bestFit="1" customWidth="1"/>
    <col min="13" max="13" width="15.5546875" bestFit="1" customWidth="1"/>
  </cols>
  <sheetData>
    <row r="1" spans="1:13" ht="52.8" x14ac:dyDescent="0.3">
      <c r="A1" s="5" t="s">
        <v>253</v>
      </c>
      <c r="B1" s="5" t="s">
        <v>7</v>
      </c>
      <c r="C1" s="4" t="s">
        <v>0</v>
      </c>
      <c r="D1" s="4" t="s">
        <v>244</v>
      </c>
      <c r="E1" s="4" t="s">
        <v>9</v>
      </c>
      <c r="F1" s="4" t="s">
        <v>6</v>
      </c>
      <c r="G1" s="14" t="s">
        <v>263</v>
      </c>
      <c r="H1" s="22" t="s">
        <v>278</v>
      </c>
      <c r="I1" s="22" t="s">
        <v>279</v>
      </c>
      <c r="J1" s="22" t="s">
        <v>281</v>
      </c>
      <c r="K1" s="22" t="s">
        <v>282</v>
      </c>
      <c r="L1" s="22" t="s">
        <v>284</v>
      </c>
      <c r="M1" s="22" t="s">
        <v>257</v>
      </c>
    </row>
    <row r="2" spans="1:13" x14ac:dyDescent="0.3">
      <c r="A2" s="11">
        <v>1</v>
      </c>
      <c r="B2" s="6">
        <v>41719</v>
      </c>
      <c r="C2" s="1" t="s">
        <v>8</v>
      </c>
      <c r="D2" s="2" t="s">
        <v>101</v>
      </c>
      <c r="E2" s="2" t="s">
        <v>252</v>
      </c>
      <c r="F2" s="3">
        <v>360</v>
      </c>
      <c r="G2" s="15">
        <v>3</v>
      </c>
      <c r="H2" t="str">
        <f>VLOOKUP(D2,'Dati di Supporto'!$B$2:$C$104,2,FALSE)</f>
        <v>Emilia-Romagna</v>
      </c>
      <c r="I2" t="str">
        <f>VLOOKUP(D2,'Dati di Supporto'!B2:$D$104,3,TRUE)</f>
        <v>PC</v>
      </c>
      <c r="J2" t="str">
        <f>VLOOKUP(H2,'Dati di Supporto'!$G$2:$H$21,2,FALSE)</f>
        <v>NORD</v>
      </c>
      <c r="K2">
        <f>COUNTIF($C$2:$C$501,C2)</f>
        <v>70</v>
      </c>
      <c r="L2" t="str">
        <f>_xlfn.IFS(Vendite!F2&lt;'Dati di Supporto'!$O$3,'Dati di Supporto'!$P$2,Vendite!F2&lt;'Dati di Supporto'!$O$4,'Dati di Supporto'!$P$3,Vendite!F2&lt;'Dati di Supporto'!$O$5,'Dati di Supporto'!$P$4,Vendite!F2&lt;'Dati di Supporto'!$O$6,'Dati di Supporto'!$P$5,Vendite!F2&gt;'Dati di Supporto'!$O$6,'Dati di Supporto'!$P$6)</f>
        <v>Fascia 1 (inferiore a 400 €)</v>
      </c>
      <c r="M2" t="str">
        <f>_xlfn.IFS(G2='Dati di Supporto'!$O$10,'Dati di Supporto'!$P$10,Vendite!G2='Dati di Supporto'!$O$11,'Dati di Supporto'!$P$11,Vendite!G2='Dati di Supporto'!$O$12,'Dati di Supporto'!$P$12,Vendite!G2='Dati di Supporto'!$O$13,'Dati di Supporto'!$P$13,Vendite!G2='Dati di Supporto'!$O$14,'Dati di Supporto'!$P$14)</f>
        <v>Carta di credito</v>
      </c>
    </row>
    <row r="3" spans="1:13" x14ac:dyDescent="0.3">
      <c r="A3" s="11">
        <v>2</v>
      </c>
      <c r="B3" s="6">
        <v>41714</v>
      </c>
      <c r="C3" s="1" t="s">
        <v>3</v>
      </c>
      <c r="D3" s="2" t="s">
        <v>103</v>
      </c>
      <c r="E3" s="2" t="s">
        <v>252</v>
      </c>
      <c r="F3" s="3">
        <v>1496</v>
      </c>
      <c r="G3" s="15">
        <v>5</v>
      </c>
      <c r="H3" t="str">
        <f>VLOOKUP(D3,'Dati di Supporto'!$B$2:$C$104,2,FALSE)</f>
        <v>Toscana</v>
      </c>
      <c r="I3" t="str">
        <f>VLOOKUP(D3,'Dati di Supporto'!B3:$D$104,3,TRUE)</f>
        <v>PT</v>
      </c>
      <c r="J3" t="str">
        <f>VLOOKUP(H3,'Dati di Supporto'!$G$2:$H$21,2,FALSE)</f>
        <v>CENTRO</v>
      </c>
      <c r="K3">
        <f t="shared" ref="K3:K66" si="0">COUNTIF($C$2:$C$501,C3)</f>
        <v>87</v>
      </c>
      <c r="L3" t="str">
        <f>_xlfn.IFS(Vendite!F3&lt;'Dati di Supporto'!$O$3,'Dati di Supporto'!$P$2,Vendite!F3&lt;'Dati di Supporto'!$O$4,'Dati di Supporto'!$P$3,Vendite!F3&lt;'Dati di Supporto'!$O$5,'Dati di Supporto'!$P$4,Vendite!F3&lt;'Dati di Supporto'!$O$6,'Dati di Supporto'!$P$5,Vendite!F3&gt;'Dati di Supporto'!$O$6,'Dati di Supporto'!$P$6)</f>
        <v>Fascia 4 (da 1200 €  a meno di 1500 €)</v>
      </c>
      <c r="M3" t="str">
        <f>_xlfn.IFS(G3='Dati di Supporto'!$O$10,'Dati di Supporto'!$P$10,Vendite!G3='Dati di Supporto'!$O$11,'Dati di Supporto'!$P$11,Vendite!G3='Dati di Supporto'!$O$12,'Dati di Supporto'!$P$12,Vendite!G3='Dati di Supporto'!$O$13,'Dati di Supporto'!$P$13,Vendite!G3='Dati di Supporto'!$O$14,'Dati di Supporto'!$P$14)</f>
        <v>Assegno Bancario</v>
      </c>
    </row>
    <row r="4" spans="1:13" x14ac:dyDescent="0.3">
      <c r="A4" s="11">
        <v>3</v>
      </c>
      <c r="B4" s="6">
        <v>41694</v>
      </c>
      <c r="C4" s="1" t="s">
        <v>3</v>
      </c>
      <c r="D4" s="2" t="s">
        <v>130</v>
      </c>
      <c r="E4" s="2" t="s">
        <v>10</v>
      </c>
      <c r="F4" s="3">
        <v>1342</v>
      </c>
      <c r="G4" s="15">
        <v>4</v>
      </c>
      <c r="H4" t="str">
        <f>VLOOKUP(D4,'Dati di Supporto'!$B$2:$C$104,2,FALSE)</f>
        <v>Piemonte</v>
      </c>
      <c r="I4" t="str">
        <f>VLOOKUP(D4,'Dati di Supporto'!B4:$D$104,3,TRUE)</f>
        <v>VB</v>
      </c>
      <c r="J4" t="str">
        <f>VLOOKUP(H4,'Dati di Supporto'!$G$2:$H$21,2,FALSE)</f>
        <v>NORD</v>
      </c>
      <c r="K4">
        <f t="shared" si="0"/>
        <v>87</v>
      </c>
      <c r="L4" t="str">
        <f>_xlfn.IFS(Vendite!F4&lt;'Dati di Supporto'!$O$3,'Dati di Supporto'!$P$2,Vendite!F4&lt;'Dati di Supporto'!$O$4,'Dati di Supporto'!$P$3,Vendite!F4&lt;'Dati di Supporto'!$O$5,'Dati di Supporto'!$P$4,Vendite!F4&lt;'Dati di Supporto'!$O$6,'Dati di Supporto'!$P$5,Vendite!F4&gt;'Dati di Supporto'!$O$6,'Dati di Supporto'!$P$6)</f>
        <v>Fascia 4 (da 1200 €  a meno di 1500 €)</v>
      </c>
      <c r="M4" t="str">
        <f>_xlfn.IFS(G4='Dati di Supporto'!$O$10,'Dati di Supporto'!$P$10,Vendite!G4='Dati di Supporto'!$O$11,'Dati di Supporto'!$P$11,Vendite!G4='Dati di Supporto'!$O$12,'Dati di Supporto'!$P$12,Vendite!G4='Dati di Supporto'!$O$13,'Dati di Supporto'!$P$13,Vendite!G4='Dati di Supporto'!$O$14,'Dati di Supporto'!$P$14)</f>
        <v>Bollettino postale</v>
      </c>
    </row>
    <row r="5" spans="1:13" x14ac:dyDescent="0.3">
      <c r="A5" s="11">
        <v>4</v>
      </c>
      <c r="B5" s="6">
        <v>41810</v>
      </c>
      <c r="C5" s="1" t="s">
        <v>247</v>
      </c>
      <c r="D5" s="2" t="s">
        <v>108</v>
      </c>
      <c r="E5" s="2" t="s">
        <v>251</v>
      </c>
      <c r="F5" s="3">
        <v>972</v>
      </c>
      <c r="G5" s="15">
        <v>1</v>
      </c>
      <c r="H5" t="str">
        <f>VLOOKUP(D5,'Dati di Supporto'!$B$2:$C$104,2,FALSE)</f>
        <v>Emilia-Romagna</v>
      </c>
      <c r="I5" t="str">
        <f>VLOOKUP(D5,'Dati di Supporto'!B5:$D$104,3,TRUE)</f>
        <v>RA</v>
      </c>
      <c r="J5" t="str">
        <f>VLOOKUP(H5,'Dati di Supporto'!$G$2:$H$21,2,FALSE)</f>
        <v>NORD</v>
      </c>
      <c r="K5">
        <f t="shared" si="0"/>
        <v>83</v>
      </c>
      <c r="L5" t="str">
        <f>_xlfn.IFS(Vendite!F5&lt;'Dati di Supporto'!$O$3,'Dati di Supporto'!$P$2,Vendite!F5&lt;'Dati di Supporto'!$O$4,'Dati di Supporto'!$P$3,Vendite!F5&lt;'Dati di Supporto'!$O$5,'Dati di Supporto'!$P$4,Vendite!F5&lt;'Dati di Supporto'!$O$6,'Dati di Supporto'!$P$5,Vendite!F5&gt;'Dati di Supporto'!$O$6,'Dati di Supporto'!$P$6)</f>
        <v>Fascia 3 (da 800 €  a meno di 1200 €)</v>
      </c>
      <c r="M5" t="str">
        <f>_xlfn.IFS(G5='Dati di Supporto'!$O$10,'Dati di Supporto'!$P$10,Vendite!G5='Dati di Supporto'!$O$11,'Dati di Supporto'!$P$11,Vendite!G5='Dati di Supporto'!$O$12,'Dati di Supporto'!$P$12,Vendite!G5='Dati di Supporto'!$O$13,'Dati di Supporto'!$P$13,Vendite!G5='Dati di Supporto'!$O$14,'Dati di Supporto'!$P$14)</f>
        <v>Contanti</v>
      </c>
    </row>
    <row r="6" spans="1:13" x14ac:dyDescent="0.3">
      <c r="A6" s="11">
        <v>5</v>
      </c>
      <c r="B6" s="6">
        <v>41663</v>
      </c>
      <c r="C6" s="1" t="s">
        <v>3</v>
      </c>
      <c r="D6" s="2" t="s">
        <v>102</v>
      </c>
      <c r="E6" s="2" t="s">
        <v>10</v>
      </c>
      <c r="F6" s="3">
        <v>348</v>
      </c>
      <c r="G6" s="15">
        <v>2</v>
      </c>
      <c r="H6" t="str">
        <f>VLOOKUP(D6,'Dati di Supporto'!$B$2:$C$104,2,FALSE)</f>
        <v>Toscana</v>
      </c>
      <c r="I6" t="str">
        <f>VLOOKUP(D6,'Dati di Supporto'!B6:$D$104,3,TRUE)</f>
        <v>PI</v>
      </c>
      <c r="J6" t="str">
        <f>VLOOKUP(H6,'Dati di Supporto'!$G$2:$H$21,2,FALSE)</f>
        <v>CENTRO</v>
      </c>
      <c r="K6">
        <f t="shared" si="0"/>
        <v>87</v>
      </c>
      <c r="L6" t="str">
        <f>_xlfn.IFS(Vendite!F6&lt;'Dati di Supporto'!$O$3,'Dati di Supporto'!$P$2,Vendite!F6&lt;'Dati di Supporto'!$O$4,'Dati di Supporto'!$P$3,Vendite!F6&lt;'Dati di Supporto'!$O$5,'Dati di Supporto'!$P$4,Vendite!F6&lt;'Dati di Supporto'!$O$6,'Dati di Supporto'!$P$5,Vendite!F6&gt;'Dati di Supporto'!$O$6,'Dati di Supporto'!$P$6)</f>
        <v>Fascia 1 (inferiore a 400 €)</v>
      </c>
      <c r="M6" t="str">
        <f>_xlfn.IFS(G6='Dati di Supporto'!$O$10,'Dati di Supporto'!$P$10,Vendite!G6='Dati di Supporto'!$O$11,'Dati di Supporto'!$P$11,Vendite!G6='Dati di Supporto'!$O$12,'Dati di Supporto'!$P$12,Vendite!G6='Dati di Supporto'!$O$13,'Dati di Supporto'!$P$13,Vendite!G6='Dati di Supporto'!$O$14,'Dati di Supporto'!$P$14)</f>
        <v>Bonifico Bancario</v>
      </c>
    </row>
    <row r="7" spans="1:13" x14ac:dyDescent="0.3">
      <c r="A7" s="11">
        <v>6</v>
      </c>
      <c r="B7" s="6">
        <v>41701</v>
      </c>
      <c r="C7" s="1" t="s">
        <v>3</v>
      </c>
      <c r="D7" s="2" t="s">
        <v>131</v>
      </c>
      <c r="E7" s="2" t="s">
        <v>11</v>
      </c>
      <c r="F7" s="3">
        <v>31</v>
      </c>
      <c r="G7" s="15">
        <v>1</v>
      </c>
      <c r="H7" t="str">
        <f>VLOOKUP(D7,'Dati di Supporto'!$B$2:$C$104,2,FALSE)</f>
        <v>Piemonte</v>
      </c>
      <c r="I7" t="str">
        <f>VLOOKUP(D7,'Dati di Supporto'!B7:$D$104,3,TRUE)</f>
        <v>VC</v>
      </c>
      <c r="J7" t="str">
        <f>VLOOKUP(H7,'Dati di Supporto'!$G$2:$H$21,2,FALSE)</f>
        <v>NORD</v>
      </c>
      <c r="K7">
        <f t="shared" si="0"/>
        <v>87</v>
      </c>
      <c r="L7" t="str">
        <f>_xlfn.IFS(Vendite!F7&lt;'Dati di Supporto'!$O$3,'Dati di Supporto'!$P$2,Vendite!F7&lt;'Dati di Supporto'!$O$4,'Dati di Supporto'!$P$3,Vendite!F7&lt;'Dati di Supporto'!$O$5,'Dati di Supporto'!$P$4,Vendite!F7&lt;'Dati di Supporto'!$O$6,'Dati di Supporto'!$P$5,Vendite!F7&gt;'Dati di Supporto'!$O$6,'Dati di Supporto'!$P$6)</f>
        <v>Fascia 1 (inferiore a 400 €)</v>
      </c>
      <c r="M7" t="str">
        <f>_xlfn.IFS(G7='Dati di Supporto'!$O$10,'Dati di Supporto'!$P$10,Vendite!G7='Dati di Supporto'!$O$11,'Dati di Supporto'!$P$11,Vendite!G7='Dati di Supporto'!$O$12,'Dati di Supporto'!$P$12,Vendite!G7='Dati di Supporto'!$O$13,'Dati di Supporto'!$P$13,Vendite!G7='Dati di Supporto'!$O$14,'Dati di Supporto'!$P$14)</f>
        <v>Contanti</v>
      </c>
    </row>
    <row r="8" spans="1:13" x14ac:dyDescent="0.3">
      <c r="A8" s="11">
        <v>7</v>
      </c>
      <c r="B8" s="6">
        <v>41738</v>
      </c>
      <c r="C8" s="1" t="s">
        <v>3</v>
      </c>
      <c r="D8" s="2" t="s">
        <v>114</v>
      </c>
      <c r="E8" s="2" t="s">
        <v>251</v>
      </c>
      <c r="F8" s="3">
        <v>1087</v>
      </c>
      <c r="G8" s="15">
        <v>4</v>
      </c>
      <c r="H8" t="str">
        <f>VLOOKUP(D8,'Dati di Supporto'!$B$2:$C$104,2,FALSE)</f>
        <v>Sardegna</v>
      </c>
      <c r="I8" t="str">
        <f>VLOOKUP(D8,'Dati di Supporto'!B8:$D$104,3,TRUE)</f>
        <v>SS</v>
      </c>
      <c r="J8" t="str">
        <f>VLOOKUP(H8,'Dati di Supporto'!$G$2:$H$21,2,FALSE)</f>
        <v>ISOLE</v>
      </c>
      <c r="K8">
        <f t="shared" si="0"/>
        <v>87</v>
      </c>
      <c r="L8" t="str">
        <f>_xlfn.IFS(Vendite!F8&lt;'Dati di Supporto'!$O$3,'Dati di Supporto'!$P$2,Vendite!F8&lt;'Dati di Supporto'!$O$4,'Dati di Supporto'!$P$3,Vendite!F8&lt;'Dati di Supporto'!$O$5,'Dati di Supporto'!$P$4,Vendite!F8&lt;'Dati di Supporto'!$O$6,'Dati di Supporto'!$P$5,Vendite!F8&gt;'Dati di Supporto'!$O$6,'Dati di Supporto'!$P$6)</f>
        <v>Fascia 3 (da 800 €  a meno di 1200 €)</v>
      </c>
      <c r="M8" t="str">
        <f>_xlfn.IFS(G8='Dati di Supporto'!$O$10,'Dati di Supporto'!$P$10,Vendite!G8='Dati di Supporto'!$O$11,'Dati di Supporto'!$P$11,Vendite!G8='Dati di Supporto'!$O$12,'Dati di Supporto'!$P$12,Vendite!G8='Dati di Supporto'!$O$13,'Dati di Supporto'!$P$13,Vendite!G8='Dati di Supporto'!$O$14,'Dati di Supporto'!$P$14)</f>
        <v>Bollettino postale</v>
      </c>
    </row>
    <row r="9" spans="1:13" x14ac:dyDescent="0.3">
      <c r="A9" s="11">
        <v>8</v>
      </c>
      <c r="B9" s="6">
        <v>41742</v>
      </c>
      <c r="C9" s="1" t="s">
        <v>247</v>
      </c>
      <c r="D9" s="2" t="s">
        <v>114</v>
      </c>
      <c r="E9" s="2" t="s">
        <v>10</v>
      </c>
      <c r="F9" s="3">
        <v>760</v>
      </c>
      <c r="G9" s="15">
        <v>2</v>
      </c>
      <c r="H9" t="str">
        <f>VLOOKUP(D9,'Dati di Supporto'!$B$2:$C$104,2,FALSE)</f>
        <v>Sardegna</v>
      </c>
      <c r="I9" t="str">
        <f>VLOOKUP(D9,'Dati di Supporto'!B9:$D$104,3,TRUE)</f>
        <v>SS</v>
      </c>
      <c r="J9" t="str">
        <f>VLOOKUP(H9,'Dati di Supporto'!$G$2:$H$21,2,FALSE)</f>
        <v>ISOLE</v>
      </c>
      <c r="K9">
        <f t="shared" si="0"/>
        <v>83</v>
      </c>
      <c r="L9" t="str">
        <f>_xlfn.IFS(Vendite!F9&lt;'Dati di Supporto'!$O$3,'Dati di Supporto'!$P$2,Vendite!F9&lt;'Dati di Supporto'!$O$4,'Dati di Supporto'!$P$3,Vendite!F9&lt;'Dati di Supporto'!$O$5,'Dati di Supporto'!$P$4,Vendite!F9&lt;'Dati di Supporto'!$O$6,'Dati di Supporto'!$P$5,Vendite!F9&gt;'Dati di Supporto'!$O$6,'Dati di Supporto'!$P$6)</f>
        <v>Fascia 2 (da 400 €  a meno di 800 €)</v>
      </c>
      <c r="M9" t="str">
        <f>_xlfn.IFS(G9='Dati di Supporto'!$O$10,'Dati di Supporto'!$P$10,Vendite!G9='Dati di Supporto'!$O$11,'Dati di Supporto'!$P$11,Vendite!G9='Dati di Supporto'!$O$12,'Dati di Supporto'!$P$12,Vendite!G9='Dati di Supporto'!$O$13,'Dati di Supporto'!$P$13,Vendite!G9='Dati di Supporto'!$O$14,'Dati di Supporto'!$P$14)</f>
        <v>Bonifico Bancario</v>
      </c>
    </row>
    <row r="10" spans="1:13" x14ac:dyDescent="0.3">
      <c r="A10" s="11">
        <v>9</v>
      </c>
      <c r="B10" s="6">
        <v>41754</v>
      </c>
      <c r="C10" s="1" t="s">
        <v>247</v>
      </c>
      <c r="D10" s="2" t="s">
        <v>103</v>
      </c>
      <c r="E10" s="2" t="s">
        <v>10</v>
      </c>
      <c r="F10" s="3">
        <v>10</v>
      </c>
      <c r="G10" s="15">
        <v>5</v>
      </c>
      <c r="H10" t="str">
        <f>VLOOKUP(D10,'Dati di Supporto'!$B$2:$C$104,2,FALSE)</f>
        <v>Toscana</v>
      </c>
      <c r="I10" t="str">
        <f>VLOOKUP(D10,'Dati di Supporto'!B10:$D$104,3,TRUE)</f>
        <v>PT</v>
      </c>
      <c r="J10" t="str">
        <f>VLOOKUP(H10,'Dati di Supporto'!$G$2:$H$21,2,FALSE)</f>
        <v>CENTRO</v>
      </c>
      <c r="K10">
        <f t="shared" si="0"/>
        <v>83</v>
      </c>
      <c r="L10" t="str">
        <f>_xlfn.IFS(Vendite!F10&lt;'Dati di Supporto'!$O$3,'Dati di Supporto'!$P$2,Vendite!F10&lt;'Dati di Supporto'!$O$4,'Dati di Supporto'!$P$3,Vendite!F10&lt;'Dati di Supporto'!$O$5,'Dati di Supporto'!$P$4,Vendite!F10&lt;'Dati di Supporto'!$O$6,'Dati di Supporto'!$P$5,Vendite!F10&gt;'Dati di Supporto'!$O$6,'Dati di Supporto'!$P$6)</f>
        <v>Fascia 1 (inferiore a 400 €)</v>
      </c>
      <c r="M10" t="str">
        <f>_xlfn.IFS(G10='Dati di Supporto'!$O$10,'Dati di Supporto'!$P$10,Vendite!G10='Dati di Supporto'!$O$11,'Dati di Supporto'!$P$11,Vendite!G10='Dati di Supporto'!$O$12,'Dati di Supporto'!$P$12,Vendite!G10='Dati di Supporto'!$O$13,'Dati di Supporto'!$P$13,Vendite!G10='Dati di Supporto'!$O$14,'Dati di Supporto'!$P$14)</f>
        <v>Assegno Bancario</v>
      </c>
    </row>
    <row r="11" spans="1:13" x14ac:dyDescent="0.3">
      <c r="A11" s="11">
        <v>10</v>
      </c>
      <c r="B11" s="6">
        <v>41722</v>
      </c>
      <c r="C11" s="1" t="s">
        <v>247</v>
      </c>
      <c r="D11" s="2" t="s">
        <v>126</v>
      </c>
      <c r="E11" s="2" t="s">
        <v>252</v>
      </c>
      <c r="F11" s="3">
        <v>357</v>
      </c>
      <c r="G11" s="15">
        <v>2</v>
      </c>
      <c r="H11" t="str">
        <f>VLOOKUP(D11,'Dati di Supporto'!$B$2:$C$104,2,FALSE)</f>
        <v>Friuli-Venezia Giulia</v>
      </c>
      <c r="I11" t="str">
        <f>VLOOKUP(D11,'Dati di Supporto'!B11:$D$104,3,TRUE)</f>
        <v>TS</v>
      </c>
      <c r="J11" t="str">
        <f>VLOOKUP(H11,'Dati di Supporto'!$G$2:$H$21,2,FALSE)</f>
        <v>NORD</v>
      </c>
      <c r="K11">
        <f t="shared" si="0"/>
        <v>83</v>
      </c>
      <c r="L11" t="str">
        <f>_xlfn.IFS(Vendite!F11&lt;'Dati di Supporto'!$O$3,'Dati di Supporto'!$P$2,Vendite!F11&lt;'Dati di Supporto'!$O$4,'Dati di Supporto'!$P$3,Vendite!F11&lt;'Dati di Supporto'!$O$5,'Dati di Supporto'!$P$4,Vendite!F11&lt;'Dati di Supporto'!$O$6,'Dati di Supporto'!$P$5,Vendite!F11&gt;'Dati di Supporto'!$O$6,'Dati di Supporto'!$P$6)</f>
        <v>Fascia 1 (inferiore a 400 €)</v>
      </c>
      <c r="M11" t="str">
        <f>_xlfn.IFS(G11='Dati di Supporto'!$O$10,'Dati di Supporto'!$P$10,Vendite!G11='Dati di Supporto'!$O$11,'Dati di Supporto'!$P$11,Vendite!G11='Dati di Supporto'!$O$12,'Dati di Supporto'!$P$12,Vendite!G11='Dati di Supporto'!$O$13,'Dati di Supporto'!$P$13,Vendite!G11='Dati di Supporto'!$O$14,'Dati di Supporto'!$P$14)</f>
        <v>Bonifico Bancario</v>
      </c>
    </row>
    <row r="12" spans="1:13" x14ac:dyDescent="0.3">
      <c r="A12" s="11">
        <v>11</v>
      </c>
      <c r="B12" s="6">
        <v>41784</v>
      </c>
      <c r="C12" s="1" t="s">
        <v>247</v>
      </c>
      <c r="D12" s="2" t="s">
        <v>114</v>
      </c>
      <c r="E12" s="2" t="s">
        <v>10</v>
      </c>
      <c r="F12" s="3">
        <v>19</v>
      </c>
      <c r="G12" s="15">
        <v>1</v>
      </c>
      <c r="H12" t="str">
        <f>VLOOKUP(D12,'Dati di Supporto'!$B$2:$C$104,2,FALSE)</f>
        <v>Sardegna</v>
      </c>
      <c r="I12" t="str">
        <f>VLOOKUP(D12,'Dati di Supporto'!B12:$D$104,3,TRUE)</f>
        <v>SS</v>
      </c>
      <c r="J12" t="str">
        <f>VLOOKUP(H12,'Dati di Supporto'!$G$2:$H$21,2,FALSE)</f>
        <v>ISOLE</v>
      </c>
      <c r="K12">
        <f t="shared" si="0"/>
        <v>83</v>
      </c>
      <c r="L12" t="str">
        <f>_xlfn.IFS(Vendite!F12&lt;'Dati di Supporto'!$O$3,'Dati di Supporto'!$P$2,Vendite!F12&lt;'Dati di Supporto'!$O$4,'Dati di Supporto'!$P$3,Vendite!F12&lt;'Dati di Supporto'!$O$5,'Dati di Supporto'!$P$4,Vendite!F12&lt;'Dati di Supporto'!$O$6,'Dati di Supporto'!$P$5,Vendite!F12&gt;'Dati di Supporto'!$O$6,'Dati di Supporto'!$P$6)</f>
        <v>Fascia 1 (inferiore a 400 €)</v>
      </c>
      <c r="M12" t="str">
        <f>_xlfn.IFS(G12='Dati di Supporto'!$O$10,'Dati di Supporto'!$P$10,Vendite!G12='Dati di Supporto'!$O$11,'Dati di Supporto'!$P$11,Vendite!G12='Dati di Supporto'!$O$12,'Dati di Supporto'!$P$12,Vendite!G12='Dati di Supporto'!$O$13,'Dati di Supporto'!$P$13,Vendite!G12='Dati di Supporto'!$O$14,'Dati di Supporto'!$P$14)</f>
        <v>Contanti</v>
      </c>
    </row>
    <row r="13" spans="1:13" x14ac:dyDescent="0.3">
      <c r="A13" s="11">
        <v>12</v>
      </c>
      <c r="B13" s="6">
        <v>41774</v>
      </c>
      <c r="C13" s="1" t="s">
        <v>1</v>
      </c>
      <c r="D13" s="2" t="s">
        <v>110</v>
      </c>
      <c r="E13" s="2" t="s">
        <v>11</v>
      </c>
      <c r="F13" s="3">
        <v>20</v>
      </c>
      <c r="G13" s="15">
        <v>1</v>
      </c>
      <c r="H13" t="str">
        <f>VLOOKUP(D13,'Dati di Supporto'!$B$2:$C$104,2,FALSE)</f>
        <v>Emilia-Romagna</v>
      </c>
      <c r="I13" t="str">
        <f>VLOOKUP(D13,'Dati di Supporto'!B13:$D$104,3,TRUE)</f>
        <v>RN</v>
      </c>
      <c r="J13" t="str">
        <f>VLOOKUP(H13,'Dati di Supporto'!$G$2:$H$21,2,FALSE)</f>
        <v>NORD</v>
      </c>
      <c r="K13">
        <f t="shared" si="0"/>
        <v>96</v>
      </c>
      <c r="L13" t="str">
        <f>_xlfn.IFS(Vendite!F13&lt;'Dati di Supporto'!$O$3,'Dati di Supporto'!$P$2,Vendite!F13&lt;'Dati di Supporto'!$O$4,'Dati di Supporto'!$P$3,Vendite!F13&lt;'Dati di Supporto'!$O$5,'Dati di Supporto'!$P$4,Vendite!F13&lt;'Dati di Supporto'!$O$6,'Dati di Supporto'!$P$5,Vendite!F13&gt;'Dati di Supporto'!$O$6,'Dati di Supporto'!$P$6)</f>
        <v>Fascia 1 (inferiore a 400 €)</v>
      </c>
      <c r="M13" t="str">
        <f>_xlfn.IFS(G13='Dati di Supporto'!$O$10,'Dati di Supporto'!$P$10,Vendite!G13='Dati di Supporto'!$O$11,'Dati di Supporto'!$P$11,Vendite!G13='Dati di Supporto'!$O$12,'Dati di Supporto'!$P$12,Vendite!G13='Dati di Supporto'!$O$13,'Dati di Supporto'!$P$13,Vendite!G13='Dati di Supporto'!$O$14,'Dati di Supporto'!$P$14)</f>
        <v>Contanti</v>
      </c>
    </row>
    <row r="14" spans="1:13" x14ac:dyDescent="0.3">
      <c r="A14" s="11">
        <v>13</v>
      </c>
      <c r="B14" s="6">
        <v>41777</v>
      </c>
      <c r="C14" s="1" t="s">
        <v>247</v>
      </c>
      <c r="D14" s="2" t="s">
        <v>116</v>
      </c>
      <c r="E14" s="2" t="s">
        <v>252</v>
      </c>
      <c r="F14" s="3">
        <v>604</v>
      </c>
      <c r="G14" s="15">
        <v>1</v>
      </c>
      <c r="H14" t="str">
        <f>VLOOKUP(D14,'Dati di Supporto'!$B$2:$C$104,2,FALSE)</f>
        <v>Toscana</v>
      </c>
      <c r="I14" t="str">
        <f>VLOOKUP(D14,'Dati di Supporto'!B14:$D$104,3,TRUE)</f>
        <v>SI</v>
      </c>
      <c r="J14" t="str">
        <f>VLOOKUP(H14,'Dati di Supporto'!$G$2:$H$21,2,FALSE)</f>
        <v>CENTRO</v>
      </c>
      <c r="K14">
        <f t="shared" si="0"/>
        <v>83</v>
      </c>
      <c r="L14" t="str">
        <f>_xlfn.IFS(Vendite!F14&lt;'Dati di Supporto'!$O$3,'Dati di Supporto'!$P$2,Vendite!F14&lt;'Dati di Supporto'!$O$4,'Dati di Supporto'!$P$3,Vendite!F14&lt;'Dati di Supporto'!$O$5,'Dati di Supporto'!$P$4,Vendite!F14&lt;'Dati di Supporto'!$O$6,'Dati di Supporto'!$P$5,Vendite!F14&gt;'Dati di Supporto'!$O$6,'Dati di Supporto'!$P$6)</f>
        <v>Fascia 2 (da 400 €  a meno di 800 €)</v>
      </c>
      <c r="M14" t="str">
        <f>_xlfn.IFS(G14='Dati di Supporto'!$O$10,'Dati di Supporto'!$P$10,Vendite!G14='Dati di Supporto'!$O$11,'Dati di Supporto'!$P$11,Vendite!G14='Dati di Supporto'!$O$12,'Dati di Supporto'!$P$12,Vendite!G14='Dati di Supporto'!$O$13,'Dati di Supporto'!$P$13,Vendite!G14='Dati di Supporto'!$O$14,'Dati di Supporto'!$P$14)</f>
        <v>Contanti</v>
      </c>
    </row>
    <row r="15" spans="1:13" x14ac:dyDescent="0.3">
      <c r="A15" s="11">
        <v>14</v>
      </c>
      <c r="B15" s="6">
        <v>41641</v>
      </c>
      <c r="C15" s="1" t="s">
        <v>2</v>
      </c>
      <c r="D15" s="2" t="s">
        <v>105</v>
      </c>
      <c r="E15" s="2" t="s">
        <v>250</v>
      </c>
      <c r="F15" s="3">
        <v>856</v>
      </c>
      <c r="G15" s="15">
        <v>3</v>
      </c>
      <c r="H15" t="str">
        <f>VLOOKUP(D15,'Dati di Supporto'!$B$2:$C$104,2,FALSE)</f>
        <v>Basilicata</v>
      </c>
      <c r="I15" t="str">
        <f>VLOOKUP(D15,'Dati di Supporto'!B15:$D$104,3,TRUE)</f>
        <v>PZ</v>
      </c>
      <c r="J15" t="str">
        <f>VLOOKUP(H15,'Dati di Supporto'!$G$2:$H$21,2,FALSE)</f>
        <v>SUD</v>
      </c>
      <c r="K15">
        <f t="shared" si="0"/>
        <v>84</v>
      </c>
      <c r="L15" t="str">
        <f>_xlfn.IFS(Vendite!F15&lt;'Dati di Supporto'!$O$3,'Dati di Supporto'!$P$2,Vendite!F15&lt;'Dati di Supporto'!$O$4,'Dati di Supporto'!$P$3,Vendite!F15&lt;'Dati di Supporto'!$O$5,'Dati di Supporto'!$P$4,Vendite!F15&lt;'Dati di Supporto'!$O$6,'Dati di Supporto'!$P$5,Vendite!F15&gt;'Dati di Supporto'!$O$6,'Dati di Supporto'!$P$6)</f>
        <v>Fascia 3 (da 800 €  a meno di 1200 €)</v>
      </c>
      <c r="M15" t="str">
        <f>_xlfn.IFS(G15='Dati di Supporto'!$O$10,'Dati di Supporto'!$P$10,Vendite!G15='Dati di Supporto'!$O$11,'Dati di Supporto'!$P$11,Vendite!G15='Dati di Supporto'!$O$12,'Dati di Supporto'!$P$12,Vendite!G15='Dati di Supporto'!$O$13,'Dati di Supporto'!$P$13,Vendite!G15='Dati di Supporto'!$O$14,'Dati di Supporto'!$P$14)</f>
        <v>Carta di credito</v>
      </c>
    </row>
    <row r="16" spans="1:13" x14ac:dyDescent="0.3">
      <c r="A16" s="11">
        <v>15</v>
      </c>
      <c r="B16" s="6">
        <v>41712</v>
      </c>
      <c r="C16" s="1" t="s">
        <v>3</v>
      </c>
      <c r="D16" s="2" t="s">
        <v>213</v>
      </c>
      <c r="E16" s="2" t="s">
        <v>250</v>
      </c>
      <c r="F16" s="3">
        <v>833</v>
      </c>
      <c r="G16" s="15">
        <v>3</v>
      </c>
      <c r="H16" t="str">
        <f>VLOOKUP(D16,'Dati di Supporto'!$B$2:$C$104,2,FALSE)</f>
        <v>Emilia-Romagna</v>
      </c>
      <c r="I16" t="str">
        <f>VLOOKUP(D16,'Dati di Supporto'!B16:$D$104,3,TRUE)</f>
        <v>RE</v>
      </c>
      <c r="J16" t="str">
        <f>VLOOKUP(H16,'Dati di Supporto'!$G$2:$H$21,2,FALSE)</f>
        <v>NORD</v>
      </c>
      <c r="K16">
        <f t="shared" si="0"/>
        <v>87</v>
      </c>
      <c r="L16" t="str">
        <f>_xlfn.IFS(Vendite!F16&lt;'Dati di Supporto'!$O$3,'Dati di Supporto'!$P$2,Vendite!F16&lt;'Dati di Supporto'!$O$4,'Dati di Supporto'!$P$3,Vendite!F16&lt;'Dati di Supporto'!$O$5,'Dati di Supporto'!$P$4,Vendite!F16&lt;'Dati di Supporto'!$O$6,'Dati di Supporto'!$P$5,Vendite!F16&gt;'Dati di Supporto'!$O$6,'Dati di Supporto'!$P$6)</f>
        <v>Fascia 3 (da 800 €  a meno di 1200 €)</v>
      </c>
      <c r="M16" t="str">
        <f>_xlfn.IFS(G16='Dati di Supporto'!$O$10,'Dati di Supporto'!$P$10,Vendite!G16='Dati di Supporto'!$O$11,'Dati di Supporto'!$P$11,Vendite!G16='Dati di Supporto'!$O$12,'Dati di Supporto'!$P$12,Vendite!G16='Dati di Supporto'!$O$13,'Dati di Supporto'!$P$13,Vendite!G16='Dati di Supporto'!$O$14,'Dati di Supporto'!$P$14)</f>
        <v>Carta di credito</v>
      </c>
    </row>
    <row r="17" spans="1:13" x14ac:dyDescent="0.3">
      <c r="A17" s="11">
        <v>16</v>
      </c>
      <c r="B17" s="6">
        <v>41675</v>
      </c>
      <c r="C17" s="1" t="s">
        <v>2</v>
      </c>
      <c r="D17" s="2" t="s">
        <v>125</v>
      </c>
      <c r="E17" s="2" t="s">
        <v>251</v>
      </c>
      <c r="F17" s="3">
        <v>1782</v>
      </c>
      <c r="G17" s="15">
        <v>2</v>
      </c>
      <c r="H17" t="str">
        <f>VLOOKUP(D17,'Dati di Supporto'!$B$2:$C$104,2,FALSE)</f>
        <v>Veneto</v>
      </c>
      <c r="I17" t="str">
        <f>VLOOKUP(D17,'Dati di Supporto'!B17:$D$104,3,TRUE)</f>
        <v>TV</v>
      </c>
      <c r="J17" t="str">
        <f>VLOOKUP(H17,'Dati di Supporto'!$G$2:$H$21,2,FALSE)</f>
        <v>NORD</v>
      </c>
      <c r="K17">
        <f t="shared" si="0"/>
        <v>84</v>
      </c>
      <c r="L17" t="str">
        <f>_xlfn.IFS(Vendite!F17&lt;'Dati di Supporto'!$O$3,'Dati di Supporto'!$P$2,Vendite!F17&lt;'Dati di Supporto'!$O$4,'Dati di Supporto'!$P$3,Vendite!F17&lt;'Dati di Supporto'!$O$5,'Dati di Supporto'!$P$4,Vendite!F17&lt;'Dati di Supporto'!$O$6,'Dati di Supporto'!$P$5,Vendite!F17&gt;'Dati di Supporto'!$O$6,'Dati di Supporto'!$P$6)</f>
        <v>Fascia 5 (da 1500 € e oltre)</v>
      </c>
      <c r="M17" t="str">
        <f>_xlfn.IFS(G17='Dati di Supporto'!$O$10,'Dati di Supporto'!$P$10,Vendite!G17='Dati di Supporto'!$O$11,'Dati di Supporto'!$P$11,Vendite!G17='Dati di Supporto'!$O$12,'Dati di Supporto'!$P$12,Vendite!G17='Dati di Supporto'!$O$13,'Dati di Supporto'!$P$13,Vendite!G17='Dati di Supporto'!$O$14,'Dati di Supporto'!$P$14)</f>
        <v>Bonifico Bancario</v>
      </c>
    </row>
    <row r="18" spans="1:13" x14ac:dyDescent="0.3">
      <c r="A18" s="11">
        <v>17</v>
      </c>
      <c r="B18" s="6">
        <v>41780</v>
      </c>
      <c r="C18" s="1" t="s">
        <v>3</v>
      </c>
      <c r="D18" s="2" t="s">
        <v>97</v>
      </c>
      <c r="E18" s="2" t="s">
        <v>250</v>
      </c>
      <c r="F18" s="3">
        <v>1428</v>
      </c>
      <c r="G18" s="15">
        <v>5</v>
      </c>
      <c r="H18" t="str">
        <f>VLOOKUP(D18,'Dati di Supporto'!$B$2:$C$104,2,FALSE)</f>
        <v>Lombardia</v>
      </c>
      <c r="I18" t="str">
        <f>VLOOKUP(D18,'Dati di Supporto'!B18:$D$104,3,TRUE)</f>
        <v>PV</v>
      </c>
      <c r="J18" t="str">
        <f>VLOOKUP(H18,'Dati di Supporto'!$G$2:$H$21,2,FALSE)</f>
        <v>NORD</v>
      </c>
      <c r="K18">
        <f t="shared" si="0"/>
        <v>87</v>
      </c>
      <c r="L18" t="str">
        <f>_xlfn.IFS(Vendite!F18&lt;'Dati di Supporto'!$O$3,'Dati di Supporto'!$P$2,Vendite!F18&lt;'Dati di Supporto'!$O$4,'Dati di Supporto'!$P$3,Vendite!F18&lt;'Dati di Supporto'!$O$5,'Dati di Supporto'!$P$4,Vendite!F18&lt;'Dati di Supporto'!$O$6,'Dati di Supporto'!$P$5,Vendite!F18&gt;'Dati di Supporto'!$O$6,'Dati di Supporto'!$P$6)</f>
        <v>Fascia 4 (da 1200 €  a meno di 1500 €)</v>
      </c>
      <c r="M18" t="str">
        <f>_xlfn.IFS(G18='Dati di Supporto'!$O$10,'Dati di Supporto'!$P$10,Vendite!G18='Dati di Supporto'!$O$11,'Dati di Supporto'!$P$11,Vendite!G18='Dati di Supporto'!$O$12,'Dati di Supporto'!$P$12,Vendite!G18='Dati di Supporto'!$O$13,'Dati di Supporto'!$P$13,Vendite!G18='Dati di Supporto'!$O$14,'Dati di Supporto'!$P$14)</f>
        <v>Assegno Bancario</v>
      </c>
    </row>
    <row r="19" spans="1:13" x14ac:dyDescent="0.3">
      <c r="A19" s="11">
        <v>18</v>
      </c>
      <c r="B19" s="6">
        <v>41720</v>
      </c>
      <c r="C19" s="1" t="s">
        <v>3</v>
      </c>
      <c r="D19" s="2" t="s">
        <v>115</v>
      </c>
      <c r="E19" s="2" t="s">
        <v>10</v>
      </c>
      <c r="F19" s="3">
        <v>1677</v>
      </c>
      <c r="G19" s="15">
        <v>5</v>
      </c>
      <c r="H19" t="str">
        <f>VLOOKUP(D19,'Dati di Supporto'!$B$2:$C$104,2,FALSE)</f>
        <v>Liguria</v>
      </c>
      <c r="I19" t="str">
        <f>VLOOKUP(D19,'Dati di Supporto'!B19:$D$104,3,TRUE)</f>
        <v>SV</v>
      </c>
      <c r="J19" t="str">
        <f>VLOOKUP(H19,'Dati di Supporto'!$G$2:$H$21,2,FALSE)</f>
        <v>NORD</v>
      </c>
      <c r="K19">
        <f t="shared" si="0"/>
        <v>87</v>
      </c>
      <c r="L19" t="str">
        <f>_xlfn.IFS(Vendite!F19&lt;'Dati di Supporto'!$O$3,'Dati di Supporto'!$P$2,Vendite!F19&lt;'Dati di Supporto'!$O$4,'Dati di Supporto'!$P$3,Vendite!F19&lt;'Dati di Supporto'!$O$5,'Dati di Supporto'!$P$4,Vendite!F19&lt;'Dati di Supporto'!$O$6,'Dati di Supporto'!$P$5,Vendite!F19&gt;'Dati di Supporto'!$O$6,'Dati di Supporto'!$P$6)</f>
        <v>Fascia 5 (da 1500 € e oltre)</v>
      </c>
      <c r="M19" t="str">
        <f>_xlfn.IFS(G19='Dati di Supporto'!$O$10,'Dati di Supporto'!$P$10,Vendite!G19='Dati di Supporto'!$O$11,'Dati di Supporto'!$P$11,Vendite!G19='Dati di Supporto'!$O$12,'Dati di Supporto'!$P$12,Vendite!G19='Dati di Supporto'!$O$13,'Dati di Supporto'!$P$13,Vendite!G19='Dati di Supporto'!$O$14,'Dati di Supporto'!$P$14)</f>
        <v>Assegno Bancario</v>
      </c>
    </row>
    <row r="20" spans="1:13" x14ac:dyDescent="0.3">
      <c r="A20" s="11">
        <v>19</v>
      </c>
      <c r="B20" s="6">
        <v>41734</v>
      </c>
      <c r="C20" s="1" t="s">
        <v>248</v>
      </c>
      <c r="D20" s="2" t="s">
        <v>110</v>
      </c>
      <c r="E20" s="2" t="s">
        <v>251</v>
      </c>
      <c r="F20" s="3">
        <v>1514</v>
      </c>
      <c r="G20" s="15">
        <v>2</v>
      </c>
      <c r="H20" t="str">
        <f>VLOOKUP(D20,'Dati di Supporto'!$B$2:$C$104,2,FALSE)</f>
        <v>Emilia-Romagna</v>
      </c>
      <c r="I20" t="str">
        <f>VLOOKUP(D20,'Dati di Supporto'!B20:$D$104,3,TRUE)</f>
        <v>RN</v>
      </c>
      <c r="J20" t="str">
        <f>VLOOKUP(H20,'Dati di Supporto'!$G$2:$H$21,2,FALSE)</f>
        <v>NORD</v>
      </c>
      <c r="K20">
        <f t="shared" si="0"/>
        <v>80</v>
      </c>
      <c r="L20" t="str">
        <f>_xlfn.IFS(Vendite!F20&lt;'Dati di Supporto'!$O$3,'Dati di Supporto'!$P$2,Vendite!F20&lt;'Dati di Supporto'!$O$4,'Dati di Supporto'!$P$3,Vendite!F20&lt;'Dati di Supporto'!$O$5,'Dati di Supporto'!$P$4,Vendite!F20&lt;'Dati di Supporto'!$O$6,'Dati di Supporto'!$P$5,Vendite!F20&gt;'Dati di Supporto'!$O$6,'Dati di Supporto'!$P$6)</f>
        <v>Fascia 5 (da 1500 € e oltre)</v>
      </c>
      <c r="M20" t="str">
        <f>_xlfn.IFS(G20='Dati di Supporto'!$O$10,'Dati di Supporto'!$P$10,Vendite!G20='Dati di Supporto'!$O$11,'Dati di Supporto'!$P$11,Vendite!G20='Dati di Supporto'!$O$12,'Dati di Supporto'!$P$12,Vendite!G20='Dati di Supporto'!$O$13,'Dati di Supporto'!$P$13,Vendite!G20='Dati di Supporto'!$O$14,'Dati di Supporto'!$P$14)</f>
        <v>Bonifico Bancario</v>
      </c>
    </row>
    <row r="21" spans="1:13" x14ac:dyDescent="0.3">
      <c r="A21" s="11">
        <v>20</v>
      </c>
      <c r="B21" s="6">
        <v>41740</v>
      </c>
      <c r="C21" s="1" t="s">
        <v>1</v>
      </c>
      <c r="D21" s="2" t="s">
        <v>129</v>
      </c>
      <c r="E21" s="2" t="s">
        <v>250</v>
      </c>
      <c r="F21" s="3">
        <v>459</v>
      </c>
      <c r="G21" s="15">
        <v>3</v>
      </c>
      <c r="H21" t="str">
        <f>VLOOKUP(D21,'Dati di Supporto'!$B$2:$C$104,2,FALSE)</f>
        <v>Veneto</v>
      </c>
      <c r="I21" t="str">
        <f>VLOOKUP(D21,'Dati di Supporto'!B21:$D$104,3,TRUE)</f>
        <v>VE</v>
      </c>
      <c r="J21" t="str">
        <f>VLOOKUP(H21,'Dati di Supporto'!$G$2:$H$21,2,FALSE)</f>
        <v>NORD</v>
      </c>
      <c r="K21">
        <f t="shared" si="0"/>
        <v>96</v>
      </c>
      <c r="L21" t="str">
        <f>_xlfn.IFS(Vendite!F21&lt;'Dati di Supporto'!$O$3,'Dati di Supporto'!$P$2,Vendite!F21&lt;'Dati di Supporto'!$O$4,'Dati di Supporto'!$P$3,Vendite!F21&lt;'Dati di Supporto'!$O$5,'Dati di Supporto'!$P$4,Vendite!F21&lt;'Dati di Supporto'!$O$6,'Dati di Supporto'!$P$5,Vendite!F21&gt;'Dati di Supporto'!$O$6,'Dati di Supporto'!$P$6)</f>
        <v>Fascia 2 (da 400 €  a meno di 800 €)</v>
      </c>
      <c r="M21" t="str">
        <f>_xlfn.IFS(G21='Dati di Supporto'!$O$10,'Dati di Supporto'!$P$10,Vendite!G21='Dati di Supporto'!$O$11,'Dati di Supporto'!$P$11,Vendite!G21='Dati di Supporto'!$O$12,'Dati di Supporto'!$P$12,Vendite!G21='Dati di Supporto'!$O$13,'Dati di Supporto'!$P$13,Vendite!G21='Dati di Supporto'!$O$14,'Dati di Supporto'!$P$14)</f>
        <v>Carta di credito</v>
      </c>
    </row>
    <row r="22" spans="1:13" x14ac:dyDescent="0.3">
      <c r="A22" s="11">
        <v>21</v>
      </c>
      <c r="B22" s="6">
        <v>41642</v>
      </c>
      <c r="C22" s="1" t="s">
        <v>2</v>
      </c>
      <c r="D22" s="2" t="s">
        <v>131</v>
      </c>
      <c r="E22" s="2" t="s">
        <v>11</v>
      </c>
      <c r="F22" s="3">
        <v>344</v>
      </c>
      <c r="G22" s="15">
        <v>2</v>
      </c>
      <c r="H22" t="str">
        <f>VLOOKUP(D22,'Dati di Supporto'!$B$2:$C$104,2,FALSE)</f>
        <v>Piemonte</v>
      </c>
      <c r="I22" t="str">
        <f>VLOOKUP(D22,'Dati di Supporto'!B22:$D$104,3,TRUE)</f>
        <v>VC</v>
      </c>
      <c r="J22" t="str">
        <f>VLOOKUP(H22,'Dati di Supporto'!$G$2:$H$21,2,FALSE)</f>
        <v>NORD</v>
      </c>
      <c r="K22">
        <f t="shared" si="0"/>
        <v>84</v>
      </c>
      <c r="L22" t="str">
        <f>_xlfn.IFS(Vendite!F22&lt;'Dati di Supporto'!$O$3,'Dati di Supporto'!$P$2,Vendite!F22&lt;'Dati di Supporto'!$O$4,'Dati di Supporto'!$P$3,Vendite!F22&lt;'Dati di Supporto'!$O$5,'Dati di Supporto'!$P$4,Vendite!F22&lt;'Dati di Supporto'!$O$6,'Dati di Supporto'!$P$5,Vendite!F22&gt;'Dati di Supporto'!$O$6,'Dati di Supporto'!$P$6)</f>
        <v>Fascia 1 (inferiore a 400 €)</v>
      </c>
      <c r="M22" t="str">
        <f>_xlfn.IFS(G22='Dati di Supporto'!$O$10,'Dati di Supporto'!$P$10,Vendite!G22='Dati di Supporto'!$O$11,'Dati di Supporto'!$P$11,Vendite!G22='Dati di Supporto'!$O$12,'Dati di Supporto'!$P$12,Vendite!G22='Dati di Supporto'!$O$13,'Dati di Supporto'!$P$13,Vendite!G22='Dati di Supporto'!$O$14,'Dati di Supporto'!$P$14)</f>
        <v>Bonifico Bancario</v>
      </c>
    </row>
    <row r="23" spans="1:13" x14ac:dyDescent="0.3">
      <c r="A23" s="11">
        <v>22</v>
      </c>
      <c r="B23" s="6">
        <v>41816</v>
      </c>
      <c r="C23" s="1" t="s">
        <v>8</v>
      </c>
      <c r="D23" s="2" t="s">
        <v>132</v>
      </c>
      <c r="E23" s="2" t="s">
        <v>250</v>
      </c>
      <c r="F23" s="3">
        <v>10</v>
      </c>
      <c r="G23" s="15">
        <v>4</v>
      </c>
      <c r="H23" t="str">
        <f>VLOOKUP(D23,'Dati di Supporto'!$B$2:$C$104,2,FALSE)</f>
        <v>Veneto</v>
      </c>
      <c r="I23" t="str">
        <f>VLOOKUP(D23,'Dati di Supporto'!B23:$D$104,3,TRUE)</f>
        <v>VR</v>
      </c>
      <c r="J23" t="str">
        <f>VLOOKUP(H23,'Dati di Supporto'!$G$2:$H$21,2,FALSE)</f>
        <v>NORD</v>
      </c>
      <c r="K23">
        <f t="shared" si="0"/>
        <v>70</v>
      </c>
      <c r="L23" t="str">
        <f>_xlfn.IFS(Vendite!F23&lt;'Dati di Supporto'!$O$3,'Dati di Supporto'!$P$2,Vendite!F23&lt;'Dati di Supporto'!$O$4,'Dati di Supporto'!$P$3,Vendite!F23&lt;'Dati di Supporto'!$O$5,'Dati di Supporto'!$P$4,Vendite!F23&lt;'Dati di Supporto'!$O$6,'Dati di Supporto'!$P$5,Vendite!F23&gt;'Dati di Supporto'!$O$6,'Dati di Supporto'!$P$6)</f>
        <v>Fascia 1 (inferiore a 400 €)</v>
      </c>
      <c r="M23" t="str">
        <f>_xlfn.IFS(G23='Dati di Supporto'!$O$10,'Dati di Supporto'!$P$10,Vendite!G23='Dati di Supporto'!$O$11,'Dati di Supporto'!$P$11,Vendite!G23='Dati di Supporto'!$O$12,'Dati di Supporto'!$P$12,Vendite!G23='Dati di Supporto'!$O$13,'Dati di Supporto'!$P$13,Vendite!G23='Dati di Supporto'!$O$14,'Dati di Supporto'!$P$14)</f>
        <v>Bollettino postale</v>
      </c>
    </row>
    <row r="24" spans="1:13" x14ac:dyDescent="0.3">
      <c r="A24" s="11">
        <v>23</v>
      </c>
      <c r="B24" s="6">
        <v>41781</v>
      </c>
      <c r="C24" s="1" t="s">
        <v>1</v>
      </c>
      <c r="D24" s="2" t="s">
        <v>112</v>
      </c>
      <c r="E24" s="2" t="s">
        <v>10</v>
      </c>
      <c r="F24" s="3">
        <v>1582</v>
      </c>
      <c r="G24" s="15">
        <v>3</v>
      </c>
      <c r="H24" t="str">
        <f>VLOOKUP(D24,'Dati di Supporto'!$B$2:$C$104,2,FALSE)</f>
        <v>Veneto</v>
      </c>
      <c r="I24" t="str">
        <f>VLOOKUP(D24,'Dati di Supporto'!B24:$D$104,3,TRUE)</f>
        <v>RO</v>
      </c>
      <c r="J24" t="str">
        <f>VLOOKUP(H24,'Dati di Supporto'!$G$2:$H$21,2,FALSE)</f>
        <v>NORD</v>
      </c>
      <c r="K24">
        <f t="shared" si="0"/>
        <v>96</v>
      </c>
      <c r="L24" t="str">
        <f>_xlfn.IFS(Vendite!F24&lt;'Dati di Supporto'!$O$3,'Dati di Supporto'!$P$2,Vendite!F24&lt;'Dati di Supporto'!$O$4,'Dati di Supporto'!$P$3,Vendite!F24&lt;'Dati di Supporto'!$O$5,'Dati di Supporto'!$P$4,Vendite!F24&lt;'Dati di Supporto'!$O$6,'Dati di Supporto'!$P$5,Vendite!F24&gt;'Dati di Supporto'!$O$6,'Dati di Supporto'!$P$6)</f>
        <v>Fascia 5 (da 1500 € e oltre)</v>
      </c>
      <c r="M24" t="str">
        <f>_xlfn.IFS(G24='Dati di Supporto'!$O$10,'Dati di Supporto'!$P$10,Vendite!G24='Dati di Supporto'!$O$11,'Dati di Supporto'!$P$11,Vendite!G24='Dati di Supporto'!$O$12,'Dati di Supporto'!$P$12,Vendite!G24='Dati di Supporto'!$O$13,'Dati di Supporto'!$P$13,Vendite!G24='Dati di Supporto'!$O$14,'Dati di Supporto'!$P$14)</f>
        <v>Carta di credito</v>
      </c>
    </row>
    <row r="25" spans="1:13" x14ac:dyDescent="0.3">
      <c r="A25" s="11">
        <v>24</v>
      </c>
      <c r="B25" s="6">
        <v>41694</v>
      </c>
      <c r="C25" s="1" t="s">
        <v>247</v>
      </c>
      <c r="D25" s="2" t="s">
        <v>123</v>
      </c>
      <c r="E25" s="2" t="s">
        <v>250</v>
      </c>
      <c r="F25" s="3">
        <v>1072</v>
      </c>
      <c r="G25" s="15">
        <v>5</v>
      </c>
      <c r="H25" t="str">
        <f>VLOOKUP(D25,'Dati di Supporto'!$B$2:$C$104,2,FALSE)</f>
        <v>Sicilia</v>
      </c>
      <c r="I25" t="str">
        <f>VLOOKUP(D25,'Dati di Supporto'!B25:$D$104,3,TRUE)</f>
        <v>TP</v>
      </c>
      <c r="J25" t="str">
        <f>VLOOKUP(H25,'Dati di Supporto'!$G$2:$H$21,2,FALSE)</f>
        <v>ISOLE</v>
      </c>
      <c r="K25">
        <f t="shared" si="0"/>
        <v>83</v>
      </c>
      <c r="L25" t="str">
        <f>_xlfn.IFS(Vendite!F25&lt;'Dati di Supporto'!$O$3,'Dati di Supporto'!$P$2,Vendite!F25&lt;'Dati di Supporto'!$O$4,'Dati di Supporto'!$P$3,Vendite!F25&lt;'Dati di Supporto'!$O$5,'Dati di Supporto'!$P$4,Vendite!F25&lt;'Dati di Supporto'!$O$6,'Dati di Supporto'!$P$5,Vendite!F25&gt;'Dati di Supporto'!$O$6,'Dati di Supporto'!$P$6)</f>
        <v>Fascia 3 (da 800 €  a meno di 1200 €)</v>
      </c>
      <c r="M25" t="str">
        <f>_xlfn.IFS(G25='Dati di Supporto'!$O$10,'Dati di Supporto'!$P$10,Vendite!G25='Dati di Supporto'!$O$11,'Dati di Supporto'!$P$11,Vendite!G25='Dati di Supporto'!$O$12,'Dati di Supporto'!$P$12,Vendite!G25='Dati di Supporto'!$O$13,'Dati di Supporto'!$P$13,Vendite!G25='Dati di Supporto'!$O$14,'Dati di Supporto'!$P$14)</f>
        <v>Assegno Bancario</v>
      </c>
    </row>
    <row r="26" spans="1:13" x14ac:dyDescent="0.3">
      <c r="A26" s="11">
        <v>25</v>
      </c>
      <c r="B26" s="6">
        <v>41740</v>
      </c>
      <c r="C26" s="1" t="s">
        <v>1</v>
      </c>
      <c r="D26" s="2" t="s">
        <v>118</v>
      </c>
      <c r="E26" s="2" t="s">
        <v>250</v>
      </c>
      <c r="F26" s="3">
        <v>1793</v>
      </c>
      <c r="G26" s="15">
        <v>5</v>
      </c>
      <c r="H26" t="str">
        <f>VLOOKUP(D26,'Dati di Supporto'!$B$2:$C$104,2,FALSE)</f>
        <v>Lombardia</v>
      </c>
      <c r="I26" t="str">
        <f>VLOOKUP(D26,'Dati di Supporto'!B26:$D$104,3,TRUE)</f>
        <v>SO</v>
      </c>
      <c r="J26" t="str">
        <f>VLOOKUP(H26,'Dati di Supporto'!$G$2:$H$21,2,FALSE)</f>
        <v>NORD</v>
      </c>
      <c r="K26">
        <f t="shared" si="0"/>
        <v>96</v>
      </c>
      <c r="L26" t="str">
        <f>_xlfn.IFS(Vendite!F26&lt;'Dati di Supporto'!$O$3,'Dati di Supporto'!$P$2,Vendite!F26&lt;'Dati di Supporto'!$O$4,'Dati di Supporto'!$P$3,Vendite!F26&lt;'Dati di Supporto'!$O$5,'Dati di Supporto'!$P$4,Vendite!F26&lt;'Dati di Supporto'!$O$6,'Dati di Supporto'!$P$5,Vendite!F26&gt;'Dati di Supporto'!$O$6,'Dati di Supporto'!$P$6)</f>
        <v>Fascia 5 (da 1500 € e oltre)</v>
      </c>
      <c r="M26" t="str">
        <f>_xlfn.IFS(G26='Dati di Supporto'!$O$10,'Dati di Supporto'!$P$10,Vendite!G26='Dati di Supporto'!$O$11,'Dati di Supporto'!$P$11,Vendite!G26='Dati di Supporto'!$O$12,'Dati di Supporto'!$P$12,Vendite!G26='Dati di Supporto'!$O$13,'Dati di Supporto'!$P$13,Vendite!G26='Dati di Supporto'!$O$14,'Dati di Supporto'!$P$14)</f>
        <v>Assegno Bancario</v>
      </c>
    </row>
    <row r="27" spans="1:13" x14ac:dyDescent="0.3">
      <c r="A27" s="11">
        <v>26</v>
      </c>
      <c r="B27" s="6">
        <v>41669</v>
      </c>
      <c r="C27" s="1" t="s">
        <v>8</v>
      </c>
      <c r="D27" s="2" t="s">
        <v>110</v>
      </c>
      <c r="E27" s="2" t="s">
        <v>11</v>
      </c>
      <c r="F27" s="3">
        <v>1039</v>
      </c>
      <c r="G27" s="15">
        <v>1</v>
      </c>
      <c r="H27" t="str">
        <f>VLOOKUP(D27,'Dati di Supporto'!$B$2:$C$104,2,FALSE)</f>
        <v>Emilia-Romagna</v>
      </c>
      <c r="I27" t="str">
        <f>VLOOKUP(D27,'Dati di Supporto'!B27:$D$104,3,TRUE)</f>
        <v>RN</v>
      </c>
      <c r="J27" t="str">
        <f>VLOOKUP(H27,'Dati di Supporto'!$G$2:$H$21,2,FALSE)</f>
        <v>NORD</v>
      </c>
      <c r="K27">
        <f t="shared" si="0"/>
        <v>70</v>
      </c>
      <c r="L27" t="str">
        <f>_xlfn.IFS(Vendite!F27&lt;'Dati di Supporto'!$O$3,'Dati di Supporto'!$P$2,Vendite!F27&lt;'Dati di Supporto'!$O$4,'Dati di Supporto'!$P$3,Vendite!F27&lt;'Dati di Supporto'!$O$5,'Dati di Supporto'!$P$4,Vendite!F27&lt;'Dati di Supporto'!$O$6,'Dati di Supporto'!$P$5,Vendite!F27&gt;'Dati di Supporto'!$O$6,'Dati di Supporto'!$P$6)</f>
        <v>Fascia 3 (da 800 €  a meno di 1200 €)</v>
      </c>
      <c r="M27" t="str">
        <f>_xlfn.IFS(G27='Dati di Supporto'!$O$10,'Dati di Supporto'!$P$10,Vendite!G27='Dati di Supporto'!$O$11,'Dati di Supporto'!$P$11,Vendite!G27='Dati di Supporto'!$O$12,'Dati di Supporto'!$P$12,Vendite!G27='Dati di Supporto'!$O$13,'Dati di Supporto'!$P$13,Vendite!G27='Dati di Supporto'!$O$14,'Dati di Supporto'!$P$14)</f>
        <v>Contanti</v>
      </c>
    </row>
    <row r="28" spans="1:13" x14ac:dyDescent="0.3">
      <c r="A28" s="11">
        <v>27</v>
      </c>
      <c r="B28" s="6">
        <v>41801</v>
      </c>
      <c r="C28" s="1" t="s">
        <v>8</v>
      </c>
      <c r="D28" s="2" t="s">
        <v>134</v>
      </c>
      <c r="E28" s="2" t="s">
        <v>251</v>
      </c>
      <c r="F28" s="3">
        <v>1114</v>
      </c>
      <c r="G28" s="15">
        <v>5</v>
      </c>
      <c r="H28" t="str">
        <f>VLOOKUP(D28,'Dati di Supporto'!$B$2:$C$104,2,FALSE)</f>
        <v>Veneto</v>
      </c>
      <c r="I28" t="str">
        <f>VLOOKUP(D28,'Dati di Supporto'!B28:$D$104,3,TRUE)</f>
        <v>VI</v>
      </c>
      <c r="J28" t="str">
        <f>VLOOKUP(H28,'Dati di Supporto'!$G$2:$H$21,2,FALSE)</f>
        <v>NORD</v>
      </c>
      <c r="K28">
        <f t="shared" si="0"/>
        <v>70</v>
      </c>
      <c r="L28" t="str">
        <f>_xlfn.IFS(Vendite!F28&lt;'Dati di Supporto'!$O$3,'Dati di Supporto'!$P$2,Vendite!F28&lt;'Dati di Supporto'!$O$4,'Dati di Supporto'!$P$3,Vendite!F28&lt;'Dati di Supporto'!$O$5,'Dati di Supporto'!$P$4,Vendite!F28&lt;'Dati di Supporto'!$O$6,'Dati di Supporto'!$P$5,Vendite!F28&gt;'Dati di Supporto'!$O$6,'Dati di Supporto'!$P$6)</f>
        <v>Fascia 3 (da 800 €  a meno di 1200 €)</v>
      </c>
      <c r="M28" t="str">
        <f>_xlfn.IFS(G28='Dati di Supporto'!$O$10,'Dati di Supporto'!$P$10,Vendite!G28='Dati di Supporto'!$O$11,'Dati di Supporto'!$P$11,Vendite!G28='Dati di Supporto'!$O$12,'Dati di Supporto'!$P$12,Vendite!G28='Dati di Supporto'!$O$13,'Dati di Supporto'!$P$13,Vendite!G28='Dati di Supporto'!$O$14,'Dati di Supporto'!$P$14)</f>
        <v>Assegno Bancario</v>
      </c>
    </row>
    <row r="29" spans="1:13" x14ac:dyDescent="0.3">
      <c r="A29" s="11">
        <v>28</v>
      </c>
      <c r="B29" s="6">
        <v>41728</v>
      </c>
      <c r="C29" s="1" t="s">
        <v>247</v>
      </c>
      <c r="D29" s="2" t="s">
        <v>103</v>
      </c>
      <c r="E29" s="2" t="s">
        <v>11</v>
      </c>
      <c r="F29" s="3">
        <v>643</v>
      </c>
      <c r="G29" s="15">
        <v>1</v>
      </c>
      <c r="H29" t="str">
        <f>VLOOKUP(D29,'Dati di Supporto'!$B$2:$C$104,2,FALSE)</f>
        <v>Toscana</v>
      </c>
      <c r="I29" t="str">
        <f>VLOOKUP(D29,'Dati di Supporto'!B29:$D$104,3,TRUE)</f>
        <v>PT</v>
      </c>
      <c r="J29" t="str">
        <f>VLOOKUP(H29,'Dati di Supporto'!$G$2:$H$21,2,FALSE)</f>
        <v>CENTRO</v>
      </c>
      <c r="K29">
        <f t="shared" si="0"/>
        <v>83</v>
      </c>
      <c r="L29" t="str">
        <f>_xlfn.IFS(Vendite!F29&lt;'Dati di Supporto'!$O$3,'Dati di Supporto'!$P$2,Vendite!F29&lt;'Dati di Supporto'!$O$4,'Dati di Supporto'!$P$3,Vendite!F29&lt;'Dati di Supporto'!$O$5,'Dati di Supporto'!$P$4,Vendite!F29&lt;'Dati di Supporto'!$O$6,'Dati di Supporto'!$P$5,Vendite!F29&gt;'Dati di Supporto'!$O$6,'Dati di Supporto'!$P$6)</f>
        <v>Fascia 2 (da 400 €  a meno di 800 €)</v>
      </c>
      <c r="M29" t="str">
        <f>_xlfn.IFS(G29='Dati di Supporto'!$O$10,'Dati di Supporto'!$P$10,Vendite!G29='Dati di Supporto'!$O$11,'Dati di Supporto'!$P$11,Vendite!G29='Dati di Supporto'!$O$12,'Dati di Supporto'!$P$12,Vendite!G29='Dati di Supporto'!$O$13,'Dati di Supporto'!$P$13,Vendite!G29='Dati di Supporto'!$O$14,'Dati di Supporto'!$P$14)</f>
        <v>Contanti</v>
      </c>
    </row>
    <row r="30" spans="1:13" x14ac:dyDescent="0.3">
      <c r="A30" s="11">
        <v>29</v>
      </c>
      <c r="B30" s="6">
        <v>41786</v>
      </c>
      <c r="C30" s="1" t="s">
        <v>248</v>
      </c>
      <c r="D30" s="2" t="s">
        <v>213</v>
      </c>
      <c r="E30" s="2" t="s">
        <v>11</v>
      </c>
      <c r="F30" s="3">
        <v>328</v>
      </c>
      <c r="G30" s="15">
        <v>4</v>
      </c>
      <c r="H30" t="str">
        <f>VLOOKUP(D30,'Dati di Supporto'!$B$2:$C$104,2,FALSE)</f>
        <v>Emilia-Romagna</v>
      </c>
      <c r="I30" t="str">
        <f>VLOOKUP(D30,'Dati di Supporto'!B30:$D$104,3,TRUE)</f>
        <v>RE</v>
      </c>
      <c r="J30" t="str">
        <f>VLOOKUP(H30,'Dati di Supporto'!$G$2:$H$21,2,FALSE)</f>
        <v>NORD</v>
      </c>
      <c r="K30">
        <f t="shared" si="0"/>
        <v>80</v>
      </c>
      <c r="L30" t="str">
        <f>_xlfn.IFS(Vendite!F30&lt;'Dati di Supporto'!$O$3,'Dati di Supporto'!$P$2,Vendite!F30&lt;'Dati di Supporto'!$O$4,'Dati di Supporto'!$P$3,Vendite!F30&lt;'Dati di Supporto'!$O$5,'Dati di Supporto'!$P$4,Vendite!F30&lt;'Dati di Supporto'!$O$6,'Dati di Supporto'!$P$5,Vendite!F30&gt;'Dati di Supporto'!$O$6,'Dati di Supporto'!$P$6)</f>
        <v>Fascia 1 (inferiore a 400 €)</v>
      </c>
      <c r="M30" t="str">
        <f>_xlfn.IFS(G30='Dati di Supporto'!$O$10,'Dati di Supporto'!$P$10,Vendite!G30='Dati di Supporto'!$O$11,'Dati di Supporto'!$P$11,Vendite!G30='Dati di Supporto'!$O$12,'Dati di Supporto'!$P$12,Vendite!G30='Dati di Supporto'!$O$13,'Dati di Supporto'!$P$13,Vendite!G30='Dati di Supporto'!$O$14,'Dati di Supporto'!$P$14)</f>
        <v>Bollettino postale</v>
      </c>
    </row>
    <row r="31" spans="1:13" x14ac:dyDescent="0.3">
      <c r="A31" s="11">
        <v>30</v>
      </c>
      <c r="B31" s="6">
        <v>41798</v>
      </c>
      <c r="C31" s="1" t="s">
        <v>3</v>
      </c>
      <c r="D31" s="2" t="s">
        <v>99</v>
      </c>
      <c r="E31" s="2" t="s">
        <v>251</v>
      </c>
      <c r="F31" s="3">
        <v>95</v>
      </c>
      <c r="G31" s="15">
        <v>3</v>
      </c>
      <c r="H31" t="str">
        <f>VLOOKUP(D31,'Dati di Supporto'!$B$2:$C$104,2,FALSE)</f>
        <v>Marche</v>
      </c>
      <c r="I31" t="str">
        <f>VLOOKUP(D31,'Dati di Supporto'!B31:$D$104,3,TRUE)</f>
        <v>PS</v>
      </c>
      <c r="J31" t="str">
        <f>VLOOKUP(H31,'Dati di Supporto'!$G$2:$H$21,2,FALSE)</f>
        <v>CENTRO</v>
      </c>
      <c r="K31">
        <f t="shared" si="0"/>
        <v>87</v>
      </c>
      <c r="L31" t="str">
        <f>_xlfn.IFS(Vendite!F31&lt;'Dati di Supporto'!$O$3,'Dati di Supporto'!$P$2,Vendite!F31&lt;'Dati di Supporto'!$O$4,'Dati di Supporto'!$P$3,Vendite!F31&lt;'Dati di Supporto'!$O$5,'Dati di Supporto'!$P$4,Vendite!F31&lt;'Dati di Supporto'!$O$6,'Dati di Supporto'!$P$5,Vendite!F31&gt;'Dati di Supporto'!$O$6,'Dati di Supporto'!$P$6)</f>
        <v>Fascia 1 (inferiore a 400 €)</v>
      </c>
      <c r="M31" t="str">
        <f>_xlfn.IFS(G31='Dati di Supporto'!$O$10,'Dati di Supporto'!$P$10,Vendite!G31='Dati di Supporto'!$O$11,'Dati di Supporto'!$P$11,Vendite!G31='Dati di Supporto'!$O$12,'Dati di Supporto'!$P$12,Vendite!G31='Dati di Supporto'!$O$13,'Dati di Supporto'!$P$13,Vendite!G31='Dati di Supporto'!$O$14,'Dati di Supporto'!$P$14)</f>
        <v>Carta di credito</v>
      </c>
    </row>
    <row r="32" spans="1:13" x14ac:dyDescent="0.3">
      <c r="A32" s="11">
        <v>31</v>
      </c>
      <c r="B32" s="6">
        <v>41733</v>
      </c>
      <c r="C32" s="1" t="s">
        <v>3</v>
      </c>
      <c r="D32" s="2" t="s">
        <v>125</v>
      </c>
      <c r="E32" s="2" t="s">
        <v>252</v>
      </c>
      <c r="F32" s="3">
        <v>270</v>
      </c>
      <c r="G32" s="15">
        <v>5</v>
      </c>
      <c r="H32" t="str">
        <f>VLOOKUP(D32,'Dati di Supporto'!$B$2:$C$104,2,FALSE)</f>
        <v>Veneto</v>
      </c>
      <c r="I32" t="str">
        <f>VLOOKUP(D32,'Dati di Supporto'!B32:$D$104,3,TRUE)</f>
        <v>TV</v>
      </c>
      <c r="J32" t="str">
        <f>VLOOKUP(H32,'Dati di Supporto'!$G$2:$H$21,2,FALSE)</f>
        <v>NORD</v>
      </c>
      <c r="K32">
        <f t="shared" si="0"/>
        <v>87</v>
      </c>
      <c r="L32" t="str">
        <f>_xlfn.IFS(Vendite!F32&lt;'Dati di Supporto'!$O$3,'Dati di Supporto'!$P$2,Vendite!F32&lt;'Dati di Supporto'!$O$4,'Dati di Supporto'!$P$3,Vendite!F32&lt;'Dati di Supporto'!$O$5,'Dati di Supporto'!$P$4,Vendite!F32&lt;'Dati di Supporto'!$O$6,'Dati di Supporto'!$P$5,Vendite!F32&gt;'Dati di Supporto'!$O$6,'Dati di Supporto'!$P$6)</f>
        <v>Fascia 1 (inferiore a 400 €)</v>
      </c>
      <c r="M32" t="str">
        <f>_xlfn.IFS(G32='Dati di Supporto'!$O$10,'Dati di Supporto'!$P$10,Vendite!G32='Dati di Supporto'!$O$11,'Dati di Supporto'!$P$11,Vendite!G32='Dati di Supporto'!$O$12,'Dati di Supporto'!$P$12,Vendite!G32='Dati di Supporto'!$O$13,'Dati di Supporto'!$P$13,Vendite!G32='Dati di Supporto'!$O$14,'Dati di Supporto'!$P$14)</f>
        <v>Assegno Bancario</v>
      </c>
    </row>
    <row r="33" spans="1:13" x14ac:dyDescent="0.3">
      <c r="A33" s="11">
        <v>32</v>
      </c>
      <c r="B33" s="6">
        <v>41766</v>
      </c>
      <c r="C33" s="1" t="s">
        <v>8</v>
      </c>
      <c r="D33" s="2" t="s">
        <v>114</v>
      </c>
      <c r="E33" s="2" t="s">
        <v>251</v>
      </c>
      <c r="F33" s="3">
        <v>1640</v>
      </c>
      <c r="G33" s="15">
        <v>5</v>
      </c>
      <c r="H33" t="str">
        <f>VLOOKUP(D33,'Dati di Supporto'!$B$2:$C$104,2,FALSE)</f>
        <v>Sardegna</v>
      </c>
      <c r="I33" t="str">
        <f>VLOOKUP(D33,'Dati di Supporto'!B33:$D$104,3,TRUE)</f>
        <v>SS</v>
      </c>
      <c r="J33" t="str">
        <f>VLOOKUP(H33,'Dati di Supporto'!$G$2:$H$21,2,FALSE)</f>
        <v>ISOLE</v>
      </c>
      <c r="K33">
        <f t="shared" si="0"/>
        <v>70</v>
      </c>
      <c r="L33" t="str">
        <f>_xlfn.IFS(Vendite!F33&lt;'Dati di Supporto'!$O$3,'Dati di Supporto'!$P$2,Vendite!F33&lt;'Dati di Supporto'!$O$4,'Dati di Supporto'!$P$3,Vendite!F33&lt;'Dati di Supporto'!$O$5,'Dati di Supporto'!$P$4,Vendite!F33&lt;'Dati di Supporto'!$O$6,'Dati di Supporto'!$P$5,Vendite!F33&gt;'Dati di Supporto'!$O$6,'Dati di Supporto'!$P$6)</f>
        <v>Fascia 5 (da 1500 € e oltre)</v>
      </c>
      <c r="M33" t="str">
        <f>_xlfn.IFS(G33='Dati di Supporto'!$O$10,'Dati di Supporto'!$P$10,Vendite!G33='Dati di Supporto'!$O$11,'Dati di Supporto'!$P$11,Vendite!G33='Dati di Supporto'!$O$12,'Dati di Supporto'!$P$12,Vendite!G33='Dati di Supporto'!$O$13,'Dati di Supporto'!$P$13,Vendite!G33='Dati di Supporto'!$O$14,'Dati di Supporto'!$P$14)</f>
        <v>Assegno Bancario</v>
      </c>
    </row>
    <row r="34" spans="1:13" x14ac:dyDescent="0.3">
      <c r="A34" s="11">
        <v>33</v>
      </c>
      <c r="B34" s="6">
        <v>41662</v>
      </c>
      <c r="C34" s="1" t="s">
        <v>248</v>
      </c>
      <c r="D34" s="2" t="s">
        <v>124</v>
      </c>
      <c r="E34" s="2" t="s">
        <v>11</v>
      </c>
      <c r="F34" s="3">
        <v>759</v>
      </c>
      <c r="G34" s="15">
        <v>2</v>
      </c>
      <c r="H34" t="str">
        <f>VLOOKUP(D34,'Dati di Supporto'!$B$2:$C$104,2,FALSE)</f>
        <v>Trentino-Alto Adige</v>
      </c>
      <c r="I34" t="str">
        <f>VLOOKUP(D34,'Dati di Supporto'!B34:$D$104,3,TRUE)</f>
        <v>TN</v>
      </c>
      <c r="J34" t="str">
        <f>VLOOKUP(H34,'Dati di Supporto'!$G$2:$H$21,2,FALSE)</f>
        <v>NORD</v>
      </c>
      <c r="K34">
        <f t="shared" si="0"/>
        <v>80</v>
      </c>
      <c r="L34" t="str">
        <f>_xlfn.IFS(Vendite!F34&lt;'Dati di Supporto'!$O$3,'Dati di Supporto'!$P$2,Vendite!F34&lt;'Dati di Supporto'!$O$4,'Dati di Supporto'!$P$3,Vendite!F34&lt;'Dati di Supporto'!$O$5,'Dati di Supporto'!$P$4,Vendite!F34&lt;'Dati di Supporto'!$O$6,'Dati di Supporto'!$P$5,Vendite!F34&gt;'Dati di Supporto'!$O$6,'Dati di Supporto'!$P$6)</f>
        <v>Fascia 2 (da 400 €  a meno di 800 €)</v>
      </c>
      <c r="M34" t="str">
        <f>_xlfn.IFS(G34='Dati di Supporto'!$O$10,'Dati di Supporto'!$P$10,Vendite!G34='Dati di Supporto'!$O$11,'Dati di Supporto'!$P$11,Vendite!G34='Dati di Supporto'!$O$12,'Dati di Supporto'!$P$12,Vendite!G34='Dati di Supporto'!$O$13,'Dati di Supporto'!$P$13,Vendite!G34='Dati di Supporto'!$O$14,'Dati di Supporto'!$P$14)</f>
        <v>Bonifico Bancario</v>
      </c>
    </row>
    <row r="35" spans="1:13" x14ac:dyDescent="0.3">
      <c r="A35" s="11">
        <v>34</v>
      </c>
      <c r="B35" s="6">
        <v>41783</v>
      </c>
      <c r="C35" s="1" t="s">
        <v>247</v>
      </c>
      <c r="D35" s="2" t="s">
        <v>123</v>
      </c>
      <c r="E35" s="2" t="s">
        <v>10</v>
      </c>
      <c r="F35" s="3">
        <v>1288</v>
      </c>
      <c r="G35" s="15">
        <v>1</v>
      </c>
      <c r="H35" t="str">
        <f>VLOOKUP(D35,'Dati di Supporto'!$B$2:$C$104,2,FALSE)</f>
        <v>Sicilia</v>
      </c>
      <c r="I35" t="str">
        <f>VLOOKUP(D35,'Dati di Supporto'!B35:$D$104,3,TRUE)</f>
        <v>TP</v>
      </c>
      <c r="J35" t="str">
        <f>VLOOKUP(H35,'Dati di Supporto'!$G$2:$H$21,2,FALSE)</f>
        <v>ISOLE</v>
      </c>
      <c r="K35">
        <f t="shared" si="0"/>
        <v>83</v>
      </c>
      <c r="L35" t="str">
        <f>_xlfn.IFS(Vendite!F35&lt;'Dati di Supporto'!$O$3,'Dati di Supporto'!$P$2,Vendite!F35&lt;'Dati di Supporto'!$O$4,'Dati di Supporto'!$P$3,Vendite!F35&lt;'Dati di Supporto'!$O$5,'Dati di Supporto'!$P$4,Vendite!F35&lt;'Dati di Supporto'!$O$6,'Dati di Supporto'!$P$5,Vendite!F35&gt;'Dati di Supporto'!$O$6,'Dati di Supporto'!$P$6)</f>
        <v>Fascia 4 (da 1200 €  a meno di 1500 €)</v>
      </c>
      <c r="M35" t="str">
        <f>_xlfn.IFS(G35='Dati di Supporto'!$O$10,'Dati di Supporto'!$P$10,Vendite!G35='Dati di Supporto'!$O$11,'Dati di Supporto'!$P$11,Vendite!G35='Dati di Supporto'!$O$12,'Dati di Supporto'!$P$12,Vendite!G35='Dati di Supporto'!$O$13,'Dati di Supporto'!$P$13,Vendite!G35='Dati di Supporto'!$O$14,'Dati di Supporto'!$P$14)</f>
        <v>Contanti</v>
      </c>
    </row>
    <row r="36" spans="1:13" x14ac:dyDescent="0.3">
      <c r="A36" s="11">
        <v>35</v>
      </c>
      <c r="B36" s="6">
        <v>41729</v>
      </c>
      <c r="C36" s="1" t="s">
        <v>247</v>
      </c>
      <c r="D36" s="2" t="s">
        <v>135</v>
      </c>
      <c r="E36" s="2" t="s">
        <v>252</v>
      </c>
      <c r="F36" s="3">
        <v>1857</v>
      </c>
      <c r="G36" s="15">
        <v>3</v>
      </c>
      <c r="H36" t="str">
        <f>VLOOKUP(D36,'Dati di Supporto'!$B$2:$C$104,2,FALSE)</f>
        <v>Lazio</v>
      </c>
      <c r="I36" t="str">
        <f>VLOOKUP(D36,'Dati di Supporto'!B36:$D$104,3,TRUE)</f>
        <v>VT</v>
      </c>
      <c r="J36" t="str">
        <f>VLOOKUP(H36,'Dati di Supporto'!$G$2:$H$21,2,FALSE)</f>
        <v>CENTRO</v>
      </c>
      <c r="K36">
        <f t="shared" si="0"/>
        <v>83</v>
      </c>
      <c r="L36" t="str">
        <f>_xlfn.IFS(Vendite!F36&lt;'Dati di Supporto'!$O$3,'Dati di Supporto'!$P$2,Vendite!F36&lt;'Dati di Supporto'!$O$4,'Dati di Supporto'!$P$3,Vendite!F36&lt;'Dati di Supporto'!$O$5,'Dati di Supporto'!$P$4,Vendite!F36&lt;'Dati di Supporto'!$O$6,'Dati di Supporto'!$P$5,Vendite!F36&gt;'Dati di Supporto'!$O$6,'Dati di Supporto'!$P$6)</f>
        <v>Fascia 5 (da 1500 € e oltre)</v>
      </c>
      <c r="M36" t="str">
        <f>_xlfn.IFS(G36='Dati di Supporto'!$O$10,'Dati di Supporto'!$P$10,Vendite!G36='Dati di Supporto'!$O$11,'Dati di Supporto'!$P$11,Vendite!G36='Dati di Supporto'!$O$12,'Dati di Supporto'!$P$12,Vendite!G36='Dati di Supporto'!$O$13,'Dati di Supporto'!$P$13,Vendite!G36='Dati di Supporto'!$O$14,'Dati di Supporto'!$P$14)</f>
        <v>Carta di credito</v>
      </c>
    </row>
    <row r="37" spans="1:13" x14ac:dyDescent="0.3">
      <c r="A37" s="11">
        <v>36</v>
      </c>
      <c r="B37" s="6">
        <v>41765</v>
      </c>
      <c r="C37" s="1" t="s">
        <v>248</v>
      </c>
      <c r="D37" s="2" t="s">
        <v>122</v>
      </c>
      <c r="E37" s="2" t="s">
        <v>250</v>
      </c>
      <c r="F37" s="3">
        <v>1558</v>
      </c>
      <c r="G37" s="15">
        <v>3</v>
      </c>
      <c r="H37" t="str">
        <f>VLOOKUP(D37,'Dati di Supporto'!$B$2:$C$104,2,FALSE)</f>
        <v>Piemonte</v>
      </c>
      <c r="I37" t="str">
        <f>VLOOKUP(D37,'Dati di Supporto'!B37:$D$104,3,TRUE)</f>
        <v>TO</v>
      </c>
      <c r="J37" t="str">
        <f>VLOOKUP(H37,'Dati di Supporto'!$G$2:$H$21,2,FALSE)</f>
        <v>NORD</v>
      </c>
      <c r="K37">
        <f t="shared" si="0"/>
        <v>80</v>
      </c>
      <c r="L37" t="str">
        <f>_xlfn.IFS(Vendite!F37&lt;'Dati di Supporto'!$O$3,'Dati di Supporto'!$P$2,Vendite!F37&lt;'Dati di Supporto'!$O$4,'Dati di Supporto'!$P$3,Vendite!F37&lt;'Dati di Supporto'!$O$5,'Dati di Supporto'!$P$4,Vendite!F37&lt;'Dati di Supporto'!$O$6,'Dati di Supporto'!$P$5,Vendite!F37&gt;'Dati di Supporto'!$O$6,'Dati di Supporto'!$P$6)</f>
        <v>Fascia 5 (da 1500 € e oltre)</v>
      </c>
      <c r="M37" t="str">
        <f>_xlfn.IFS(G37='Dati di Supporto'!$O$10,'Dati di Supporto'!$P$10,Vendite!G37='Dati di Supporto'!$O$11,'Dati di Supporto'!$P$11,Vendite!G37='Dati di Supporto'!$O$12,'Dati di Supporto'!$P$12,Vendite!G37='Dati di Supporto'!$O$13,'Dati di Supporto'!$P$13,Vendite!G37='Dati di Supporto'!$O$14,'Dati di Supporto'!$P$14)</f>
        <v>Carta di credito</v>
      </c>
    </row>
    <row r="38" spans="1:13" x14ac:dyDescent="0.3">
      <c r="A38" s="11">
        <v>37</v>
      </c>
      <c r="B38" s="6">
        <v>41711</v>
      </c>
      <c r="C38" s="1" t="s">
        <v>248</v>
      </c>
      <c r="D38" s="2" t="s">
        <v>105</v>
      </c>
      <c r="E38" s="2" t="s">
        <v>250</v>
      </c>
      <c r="F38" s="3">
        <v>1879</v>
      </c>
      <c r="G38" s="15">
        <v>3</v>
      </c>
      <c r="H38" t="str">
        <f>VLOOKUP(D38,'Dati di Supporto'!$B$2:$C$104,2,FALSE)</f>
        <v>Basilicata</v>
      </c>
      <c r="I38" t="str">
        <f>VLOOKUP(D38,'Dati di Supporto'!B38:$D$104,3,TRUE)</f>
        <v>PZ</v>
      </c>
      <c r="J38" t="str">
        <f>VLOOKUP(H38,'Dati di Supporto'!$G$2:$H$21,2,FALSE)</f>
        <v>SUD</v>
      </c>
      <c r="K38">
        <f t="shared" si="0"/>
        <v>80</v>
      </c>
      <c r="L38" t="str">
        <f>_xlfn.IFS(Vendite!F38&lt;'Dati di Supporto'!$O$3,'Dati di Supporto'!$P$2,Vendite!F38&lt;'Dati di Supporto'!$O$4,'Dati di Supporto'!$P$3,Vendite!F38&lt;'Dati di Supporto'!$O$5,'Dati di Supporto'!$P$4,Vendite!F38&lt;'Dati di Supporto'!$O$6,'Dati di Supporto'!$P$5,Vendite!F38&gt;'Dati di Supporto'!$O$6,'Dati di Supporto'!$P$6)</f>
        <v>Fascia 5 (da 1500 € e oltre)</v>
      </c>
      <c r="M38" t="str">
        <f>_xlfn.IFS(G38='Dati di Supporto'!$O$10,'Dati di Supporto'!$P$10,Vendite!G38='Dati di Supporto'!$O$11,'Dati di Supporto'!$P$11,Vendite!G38='Dati di Supporto'!$O$12,'Dati di Supporto'!$P$12,Vendite!G38='Dati di Supporto'!$O$13,'Dati di Supporto'!$P$13,Vendite!G38='Dati di Supporto'!$O$14,'Dati di Supporto'!$P$14)</f>
        <v>Carta di credito</v>
      </c>
    </row>
    <row r="39" spans="1:13" x14ac:dyDescent="0.3">
      <c r="A39" s="11">
        <v>38</v>
      </c>
      <c r="B39" s="6">
        <v>41771</v>
      </c>
      <c r="C39" s="1" t="s">
        <v>8</v>
      </c>
      <c r="D39" s="2" t="s">
        <v>113</v>
      </c>
      <c r="E39" s="2" t="s">
        <v>10</v>
      </c>
      <c r="F39" s="3">
        <v>155</v>
      </c>
      <c r="G39" s="15">
        <v>1</v>
      </c>
      <c r="H39" t="str">
        <f>VLOOKUP(D39,'Dati di Supporto'!$B$2:$C$104,2,FALSE)</f>
        <v>Campania</v>
      </c>
      <c r="I39" t="str">
        <f>VLOOKUP(D39,'Dati di Supporto'!B39:$D$104,3,TRUE)</f>
        <v>SA</v>
      </c>
      <c r="J39" t="str">
        <f>VLOOKUP(H39,'Dati di Supporto'!$G$2:$H$21,2,FALSE)</f>
        <v>SUD</v>
      </c>
      <c r="K39">
        <f t="shared" si="0"/>
        <v>70</v>
      </c>
      <c r="L39" t="str">
        <f>_xlfn.IFS(Vendite!F39&lt;'Dati di Supporto'!$O$3,'Dati di Supporto'!$P$2,Vendite!F39&lt;'Dati di Supporto'!$O$4,'Dati di Supporto'!$P$3,Vendite!F39&lt;'Dati di Supporto'!$O$5,'Dati di Supporto'!$P$4,Vendite!F39&lt;'Dati di Supporto'!$O$6,'Dati di Supporto'!$P$5,Vendite!F39&gt;'Dati di Supporto'!$O$6,'Dati di Supporto'!$P$6)</f>
        <v>Fascia 1 (inferiore a 400 €)</v>
      </c>
      <c r="M39" t="str">
        <f>_xlfn.IFS(G39='Dati di Supporto'!$O$10,'Dati di Supporto'!$P$10,Vendite!G39='Dati di Supporto'!$O$11,'Dati di Supporto'!$P$11,Vendite!G39='Dati di Supporto'!$O$12,'Dati di Supporto'!$P$12,Vendite!G39='Dati di Supporto'!$O$13,'Dati di Supporto'!$P$13,Vendite!G39='Dati di Supporto'!$O$14,'Dati di Supporto'!$P$14)</f>
        <v>Contanti</v>
      </c>
    </row>
    <row r="40" spans="1:13" x14ac:dyDescent="0.3">
      <c r="A40" s="11">
        <v>39</v>
      </c>
      <c r="B40" s="6">
        <v>41717</v>
      </c>
      <c r="C40" s="1" t="s">
        <v>1</v>
      </c>
      <c r="D40" s="2" t="s">
        <v>114</v>
      </c>
      <c r="E40" s="2" t="s">
        <v>251</v>
      </c>
      <c r="F40" s="3">
        <v>1361</v>
      </c>
      <c r="G40" s="15">
        <v>3</v>
      </c>
      <c r="H40" t="str">
        <f>VLOOKUP(D40,'Dati di Supporto'!$B$2:$C$104,2,FALSE)</f>
        <v>Sardegna</v>
      </c>
      <c r="I40" t="str">
        <f>VLOOKUP(D40,'Dati di Supporto'!B40:$D$104,3,TRUE)</f>
        <v>SS</v>
      </c>
      <c r="J40" t="str">
        <f>VLOOKUP(H40,'Dati di Supporto'!$G$2:$H$21,2,FALSE)</f>
        <v>ISOLE</v>
      </c>
      <c r="K40">
        <f t="shared" si="0"/>
        <v>96</v>
      </c>
      <c r="L40" t="str">
        <f>_xlfn.IFS(Vendite!F40&lt;'Dati di Supporto'!$O$3,'Dati di Supporto'!$P$2,Vendite!F40&lt;'Dati di Supporto'!$O$4,'Dati di Supporto'!$P$3,Vendite!F40&lt;'Dati di Supporto'!$O$5,'Dati di Supporto'!$P$4,Vendite!F40&lt;'Dati di Supporto'!$O$6,'Dati di Supporto'!$P$5,Vendite!F40&gt;'Dati di Supporto'!$O$6,'Dati di Supporto'!$P$6)</f>
        <v>Fascia 4 (da 1200 €  a meno di 1500 €)</v>
      </c>
      <c r="M40" t="str">
        <f>_xlfn.IFS(G40='Dati di Supporto'!$O$10,'Dati di Supporto'!$P$10,Vendite!G40='Dati di Supporto'!$O$11,'Dati di Supporto'!$P$11,Vendite!G40='Dati di Supporto'!$O$12,'Dati di Supporto'!$P$12,Vendite!G40='Dati di Supporto'!$O$13,'Dati di Supporto'!$P$13,Vendite!G40='Dati di Supporto'!$O$14,'Dati di Supporto'!$P$14)</f>
        <v>Carta di credito</v>
      </c>
    </row>
    <row r="41" spans="1:13" x14ac:dyDescent="0.3">
      <c r="A41" s="11">
        <v>40</v>
      </c>
      <c r="B41" s="6">
        <v>41811</v>
      </c>
      <c r="C41" s="1" t="s">
        <v>8</v>
      </c>
      <c r="D41" s="2" t="s">
        <v>134</v>
      </c>
      <c r="E41" s="2" t="s">
        <v>252</v>
      </c>
      <c r="F41" s="3">
        <v>735</v>
      </c>
      <c r="G41" s="15">
        <v>5</v>
      </c>
      <c r="H41" t="str">
        <f>VLOOKUP(D41,'Dati di Supporto'!$B$2:$C$104,2,FALSE)</f>
        <v>Veneto</v>
      </c>
      <c r="I41" t="str">
        <f>VLOOKUP(D41,'Dati di Supporto'!B41:$D$104,3,TRUE)</f>
        <v>VI</v>
      </c>
      <c r="J41" t="str">
        <f>VLOOKUP(H41,'Dati di Supporto'!$G$2:$H$21,2,FALSE)</f>
        <v>NORD</v>
      </c>
      <c r="K41">
        <f t="shared" si="0"/>
        <v>70</v>
      </c>
      <c r="L41" t="str">
        <f>_xlfn.IFS(Vendite!F41&lt;'Dati di Supporto'!$O$3,'Dati di Supporto'!$P$2,Vendite!F41&lt;'Dati di Supporto'!$O$4,'Dati di Supporto'!$P$3,Vendite!F41&lt;'Dati di Supporto'!$O$5,'Dati di Supporto'!$P$4,Vendite!F41&lt;'Dati di Supporto'!$O$6,'Dati di Supporto'!$P$5,Vendite!F41&gt;'Dati di Supporto'!$O$6,'Dati di Supporto'!$P$6)</f>
        <v>Fascia 2 (da 400 €  a meno di 800 €)</v>
      </c>
      <c r="M41" t="str">
        <f>_xlfn.IFS(G41='Dati di Supporto'!$O$10,'Dati di Supporto'!$P$10,Vendite!G41='Dati di Supporto'!$O$11,'Dati di Supporto'!$P$11,Vendite!G41='Dati di Supporto'!$O$12,'Dati di Supporto'!$P$12,Vendite!G41='Dati di Supporto'!$O$13,'Dati di Supporto'!$P$13,Vendite!G41='Dati di Supporto'!$O$14,'Dati di Supporto'!$P$14)</f>
        <v>Assegno Bancario</v>
      </c>
    </row>
    <row r="42" spans="1:13" x14ac:dyDescent="0.3">
      <c r="A42" s="11">
        <v>41</v>
      </c>
      <c r="B42" s="6">
        <v>41777</v>
      </c>
      <c r="C42" s="1" t="s">
        <v>1</v>
      </c>
      <c r="D42" s="2" t="s">
        <v>102</v>
      </c>
      <c r="E42" s="2" t="s">
        <v>11</v>
      </c>
      <c r="F42" s="3">
        <v>1916</v>
      </c>
      <c r="G42" s="15">
        <v>3</v>
      </c>
      <c r="H42" t="str">
        <f>VLOOKUP(D42,'Dati di Supporto'!$B$2:$C$104,2,FALSE)</f>
        <v>Toscana</v>
      </c>
      <c r="I42" t="str">
        <f>VLOOKUP(D42,'Dati di Supporto'!B42:$D$104,3,TRUE)</f>
        <v>PI</v>
      </c>
      <c r="J42" t="str">
        <f>VLOOKUP(H42,'Dati di Supporto'!$G$2:$H$21,2,FALSE)</f>
        <v>CENTRO</v>
      </c>
      <c r="K42">
        <f t="shared" si="0"/>
        <v>96</v>
      </c>
      <c r="L42" t="str">
        <f>_xlfn.IFS(Vendite!F42&lt;'Dati di Supporto'!$O$3,'Dati di Supporto'!$P$2,Vendite!F42&lt;'Dati di Supporto'!$O$4,'Dati di Supporto'!$P$3,Vendite!F42&lt;'Dati di Supporto'!$O$5,'Dati di Supporto'!$P$4,Vendite!F42&lt;'Dati di Supporto'!$O$6,'Dati di Supporto'!$P$5,Vendite!F42&gt;'Dati di Supporto'!$O$6,'Dati di Supporto'!$P$6)</f>
        <v>Fascia 5 (da 1500 € e oltre)</v>
      </c>
      <c r="M42" t="str">
        <f>_xlfn.IFS(G42='Dati di Supporto'!$O$10,'Dati di Supporto'!$P$10,Vendite!G42='Dati di Supporto'!$O$11,'Dati di Supporto'!$P$11,Vendite!G42='Dati di Supporto'!$O$12,'Dati di Supporto'!$P$12,Vendite!G42='Dati di Supporto'!$O$13,'Dati di Supporto'!$P$13,Vendite!G42='Dati di Supporto'!$O$14,'Dati di Supporto'!$P$14)</f>
        <v>Carta di credito</v>
      </c>
    </row>
    <row r="43" spans="1:13" x14ac:dyDescent="0.3">
      <c r="A43" s="11">
        <v>42</v>
      </c>
      <c r="B43" s="6">
        <v>41716</v>
      </c>
      <c r="C43" s="1" t="s">
        <v>3</v>
      </c>
      <c r="D43" s="2" t="s">
        <v>134</v>
      </c>
      <c r="E43" s="2" t="s">
        <v>252</v>
      </c>
      <c r="F43" s="3">
        <v>1747</v>
      </c>
      <c r="G43" s="15">
        <v>5</v>
      </c>
      <c r="H43" t="str">
        <f>VLOOKUP(D43,'Dati di Supporto'!$B$2:$C$104,2,FALSE)</f>
        <v>Veneto</v>
      </c>
      <c r="I43" t="str">
        <f>VLOOKUP(D43,'Dati di Supporto'!B43:$D$104,3,TRUE)</f>
        <v>VI</v>
      </c>
      <c r="J43" t="str">
        <f>VLOOKUP(H43,'Dati di Supporto'!$G$2:$H$21,2,FALSE)</f>
        <v>NORD</v>
      </c>
      <c r="K43">
        <f t="shared" si="0"/>
        <v>87</v>
      </c>
      <c r="L43" t="str">
        <f>_xlfn.IFS(Vendite!F43&lt;'Dati di Supporto'!$O$3,'Dati di Supporto'!$P$2,Vendite!F43&lt;'Dati di Supporto'!$O$4,'Dati di Supporto'!$P$3,Vendite!F43&lt;'Dati di Supporto'!$O$5,'Dati di Supporto'!$P$4,Vendite!F43&lt;'Dati di Supporto'!$O$6,'Dati di Supporto'!$P$5,Vendite!F43&gt;'Dati di Supporto'!$O$6,'Dati di Supporto'!$P$6)</f>
        <v>Fascia 5 (da 1500 € e oltre)</v>
      </c>
      <c r="M43" t="str">
        <f>_xlfn.IFS(G43='Dati di Supporto'!$O$10,'Dati di Supporto'!$P$10,Vendite!G43='Dati di Supporto'!$O$11,'Dati di Supporto'!$P$11,Vendite!G43='Dati di Supporto'!$O$12,'Dati di Supporto'!$P$12,Vendite!G43='Dati di Supporto'!$O$13,'Dati di Supporto'!$P$13,Vendite!G43='Dati di Supporto'!$O$14,'Dati di Supporto'!$P$14)</f>
        <v>Assegno Bancario</v>
      </c>
    </row>
    <row r="44" spans="1:13" x14ac:dyDescent="0.3">
      <c r="A44" s="11">
        <v>43</v>
      </c>
      <c r="B44" s="6">
        <v>41660</v>
      </c>
      <c r="C44" s="1" t="s">
        <v>1</v>
      </c>
      <c r="D44" s="2" t="s">
        <v>107</v>
      </c>
      <c r="E44" s="2" t="s">
        <v>250</v>
      </c>
      <c r="F44" s="3">
        <v>1313</v>
      </c>
      <c r="G44" s="15">
        <v>4</v>
      </c>
      <c r="H44" t="str">
        <f>VLOOKUP(D44,'Dati di Supporto'!$B$2:$C$104,2,FALSE)</f>
        <v>Sicilia</v>
      </c>
      <c r="I44" t="str">
        <f>VLOOKUP(D44,'Dati di Supporto'!B44:$D$104,3,TRUE)</f>
        <v>RG</v>
      </c>
      <c r="J44" t="str">
        <f>VLOOKUP(H44,'Dati di Supporto'!$G$2:$H$21,2,FALSE)</f>
        <v>ISOLE</v>
      </c>
      <c r="K44">
        <f t="shared" si="0"/>
        <v>96</v>
      </c>
      <c r="L44" t="str">
        <f>_xlfn.IFS(Vendite!F44&lt;'Dati di Supporto'!$O$3,'Dati di Supporto'!$P$2,Vendite!F44&lt;'Dati di Supporto'!$O$4,'Dati di Supporto'!$P$3,Vendite!F44&lt;'Dati di Supporto'!$O$5,'Dati di Supporto'!$P$4,Vendite!F44&lt;'Dati di Supporto'!$O$6,'Dati di Supporto'!$P$5,Vendite!F44&gt;'Dati di Supporto'!$O$6,'Dati di Supporto'!$P$6)</f>
        <v>Fascia 4 (da 1200 €  a meno di 1500 €)</v>
      </c>
      <c r="M44" t="str">
        <f>_xlfn.IFS(G44='Dati di Supporto'!$O$10,'Dati di Supporto'!$P$10,Vendite!G44='Dati di Supporto'!$O$11,'Dati di Supporto'!$P$11,Vendite!G44='Dati di Supporto'!$O$12,'Dati di Supporto'!$P$12,Vendite!G44='Dati di Supporto'!$O$13,'Dati di Supporto'!$P$13,Vendite!G44='Dati di Supporto'!$O$14,'Dati di Supporto'!$P$14)</f>
        <v>Bollettino postale</v>
      </c>
    </row>
    <row r="45" spans="1:13" x14ac:dyDescent="0.3">
      <c r="A45" s="11">
        <v>44</v>
      </c>
      <c r="B45" s="6">
        <v>41712</v>
      </c>
      <c r="C45" s="1" t="s">
        <v>8</v>
      </c>
      <c r="D45" s="2" t="s">
        <v>115</v>
      </c>
      <c r="E45" s="2" t="s">
        <v>252</v>
      </c>
      <c r="F45" s="3">
        <v>1260</v>
      </c>
      <c r="G45" s="15">
        <v>4</v>
      </c>
      <c r="H45" t="str">
        <f>VLOOKUP(D45,'Dati di Supporto'!$B$2:$C$104,2,FALSE)</f>
        <v>Liguria</v>
      </c>
      <c r="I45" t="str">
        <f>VLOOKUP(D45,'Dati di Supporto'!B45:$D$104,3,TRUE)</f>
        <v>SV</v>
      </c>
      <c r="J45" t="str">
        <f>VLOOKUP(H45,'Dati di Supporto'!$G$2:$H$21,2,FALSE)</f>
        <v>NORD</v>
      </c>
      <c r="K45">
        <f t="shared" si="0"/>
        <v>70</v>
      </c>
      <c r="L45" t="str">
        <f>_xlfn.IFS(Vendite!F45&lt;'Dati di Supporto'!$O$3,'Dati di Supporto'!$P$2,Vendite!F45&lt;'Dati di Supporto'!$O$4,'Dati di Supporto'!$P$3,Vendite!F45&lt;'Dati di Supporto'!$O$5,'Dati di Supporto'!$P$4,Vendite!F45&lt;'Dati di Supporto'!$O$6,'Dati di Supporto'!$P$5,Vendite!F45&gt;'Dati di Supporto'!$O$6,'Dati di Supporto'!$P$6)</f>
        <v>Fascia 4 (da 1200 €  a meno di 1500 €)</v>
      </c>
      <c r="M45" t="str">
        <f>_xlfn.IFS(G45='Dati di Supporto'!$O$10,'Dati di Supporto'!$P$10,Vendite!G45='Dati di Supporto'!$O$11,'Dati di Supporto'!$P$11,Vendite!G45='Dati di Supporto'!$O$12,'Dati di Supporto'!$P$12,Vendite!G45='Dati di Supporto'!$O$13,'Dati di Supporto'!$P$13,Vendite!G45='Dati di Supporto'!$O$14,'Dati di Supporto'!$P$14)</f>
        <v>Bollettino postale</v>
      </c>
    </row>
    <row r="46" spans="1:13" x14ac:dyDescent="0.3">
      <c r="A46" s="11">
        <v>45</v>
      </c>
      <c r="B46" s="6">
        <v>41787</v>
      </c>
      <c r="C46" s="1" t="s">
        <v>248</v>
      </c>
      <c r="D46" s="2" t="s">
        <v>213</v>
      </c>
      <c r="E46" s="2" t="s">
        <v>11</v>
      </c>
      <c r="F46" s="3">
        <v>1484</v>
      </c>
      <c r="G46" s="15">
        <v>2</v>
      </c>
      <c r="H46" t="str">
        <f>VLOOKUP(D46,'Dati di Supporto'!$B$2:$C$104,2,FALSE)</f>
        <v>Emilia-Romagna</v>
      </c>
      <c r="I46" t="str">
        <f>VLOOKUP(D46,'Dati di Supporto'!B46:$D$104,3,TRUE)</f>
        <v>RE</v>
      </c>
      <c r="J46" t="str">
        <f>VLOOKUP(H46,'Dati di Supporto'!$G$2:$H$21,2,FALSE)</f>
        <v>NORD</v>
      </c>
      <c r="K46">
        <f t="shared" si="0"/>
        <v>80</v>
      </c>
      <c r="L46" t="str">
        <f>_xlfn.IFS(Vendite!F46&lt;'Dati di Supporto'!$O$3,'Dati di Supporto'!$P$2,Vendite!F46&lt;'Dati di Supporto'!$O$4,'Dati di Supporto'!$P$3,Vendite!F46&lt;'Dati di Supporto'!$O$5,'Dati di Supporto'!$P$4,Vendite!F46&lt;'Dati di Supporto'!$O$6,'Dati di Supporto'!$P$5,Vendite!F46&gt;'Dati di Supporto'!$O$6,'Dati di Supporto'!$P$6)</f>
        <v>Fascia 4 (da 1200 €  a meno di 1500 €)</v>
      </c>
      <c r="M46" t="str">
        <f>_xlfn.IFS(G46='Dati di Supporto'!$O$10,'Dati di Supporto'!$P$10,Vendite!G46='Dati di Supporto'!$O$11,'Dati di Supporto'!$P$11,Vendite!G46='Dati di Supporto'!$O$12,'Dati di Supporto'!$P$12,Vendite!G46='Dati di Supporto'!$O$13,'Dati di Supporto'!$P$13,Vendite!G46='Dati di Supporto'!$O$14,'Dati di Supporto'!$P$14)</f>
        <v>Bonifico Bancario</v>
      </c>
    </row>
    <row r="47" spans="1:13" x14ac:dyDescent="0.3">
      <c r="A47" s="11">
        <v>46</v>
      </c>
      <c r="B47" s="6">
        <v>41739</v>
      </c>
      <c r="C47" s="1" t="s">
        <v>248</v>
      </c>
      <c r="D47" s="2" t="s">
        <v>105</v>
      </c>
      <c r="E47" s="2" t="s">
        <v>251</v>
      </c>
      <c r="F47" s="3">
        <v>1887</v>
      </c>
      <c r="G47" s="15">
        <v>5</v>
      </c>
      <c r="H47" t="str">
        <f>VLOOKUP(D47,'Dati di Supporto'!$B$2:$C$104,2,FALSE)</f>
        <v>Basilicata</v>
      </c>
      <c r="I47" t="str">
        <f>VLOOKUP(D47,'Dati di Supporto'!B47:$D$104,3,TRUE)</f>
        <v>PZ</v>
      </c>
      <c r="J47" t="str">
        <f>VLOOKUP(H47,'Dati di Supporto'!$G$2:$H$21,2,FALSE)</f>
        <v>SUD</v>
      </c>
      <c r="K47">
        <f t="shared" si="0"/>
        <v>80</v>
      </c>
      <c r="L47" t="str">
        <f>_xlfn.IFS(Vendite!F47&lt;'Dati di Supporto'!$O$3,'Dati di Supporto'!$P$2,Vendite!F47&lt;'Dati di Supporto'!$O$4,'Dati di Supporto'!$P$3,Vendite!F47&lt;'Dati di Supporto'!$O$5,'Dati di Supporto'!$P$4,Vendite!F47&lt;'Dati di Supporto'!$O$6,'Dati di Supporto'!$P$5,Vendite!F47&gt;'Dati di Supporto'!$O$6,'Dati di Supporto'!$P$6)</f>
        <v>Fascia 5 (da 1500 € e oltre)</v>
      </c>
      <c r="M47" t="str">
        <f>_xlfn.IFS(G47='Dati di Supporto'!$O$10,'Dati di Supporto'!$P$10,Vendite!G47='Dati di Supporto'!$O$11,'Dati di Supporto'!$P$11,Vendite!G47='Dati di Supporto'!$O$12,'Dati di Supporto'!$P$12,Vendite!G47='Dati di Supporto'!$O$13,'Dati di Supporto'!$P$13,Vendite!G47='Dati di Supporto'!$O$14,'Dati di Supporto'!$P$14)</f>
        <v>Assegno Bancario</v>
      </c>
    </row>
    <row r="48" spans="1:13" x14ac:dyDescent="0.3">
      <c r="A48" s="11">
        <v>47</v>
      </c>
      <c r="B48" s="6">
        <v>41733</v>
      </c>
      <c r="C48" s="1" t="s">
        <v>247</v>
      </c>
      <c r="D48" s="2" t="s">
        <v>133</v>
      </c>
      <c r="E48" s="2" t="s">
        <v>252</v>
      </c>
      <c r="F48" s="3">
        <v>1918</v>
      </c>
      <c r="G48" s="15">
        <v>3</v>
      </c>
      <c r="H48" t="str">
        <f>VLOOKUP(D48,'Dati di Supporto'!$B$2:$C$104,2,FALSE)</f>
        <v>Calabria</v>
      </c>
      <c r="I48" t="str">
        <f>VLOOKUP(D48,'Dati di Supporto'!B48:$D$104,3,TRUE)</f>
        <v>VV</v>
      </c>
      <c r="J48" t="str">
        <f>VLOOKUP(H48,'Dati di Supporto'!$G$2:$H$21,2,FALSE)</f>
        <v>SUD</v>
      </c>
      <c r="K48">
        <f t="shared" si="0"/>
        <v>83</v>
      </c>
      <c r="L48" t="str">
        <f>_xlfn.IFS(Vendite!F48&lt;'Dati di Supporto'!$O$3,'Dati di Supporto'!$P$2,Vendite!F48&lt;'Dati di Supporto'!$O$4,'Dati di Supporto'!$P$3,Vendite!F48&lt;'Dati di Supporto'!$O$5,'Dati di Supporto'!$P$4,Vendite!F48&lt;'Dati di Supporto'!$O$6,'Dati di Supporto'!$P$5,Vendite!F48&gt;'Dati di Supporto'!$O$6,'Dati di Supporto'!$P$6)</f>
        <v>Fascia 5 (da 1500 € e oltre)</v>
      </c>
      <c r="M48" t="str">
        <f>_xlfn.IFS(G48='Dati di Supporto'!$O$10,'Dati di Supporto'!$P$10,Vendite!G48='Dati di Supporto'!$O$11,'Dati di Supporto'!$P$11,Vendite!G48='Dati di Supporto'!$O$12,'Dati di Supporto'!$P$12,Vendite!G48='Dati di Supporto'!$O$13,'Dati di Supporto'!$P$13,Vendite!G48='Dati di Supporto'!$O$14,'Dati di Supporto'!$P$14)</f>
        <v>Carta di credito</v>
      </c>
    </row>
    <row r="49" spans="1:13" x14ac:dyDescent="0.3">
      <c r="A49" s="11">
        <v>48</v>
      </c>
      <c r="B49" s="6">
        <v>41798</v>
      </c>
      <c r="C49" s="1" t="s">
        <v>248</v>
      </c>
      <c r="D49" s="2" t="s">
        <v>130</v>
      </c>
      <c r="E49" s="2" t="s">
        <v>250</v>
      </c>
      <c r="F49" s="3">
        <v>934</v>
      </c>
      <c r="G49" s="15">
        <v>2</v>
      </c>
      <c r="H49" t="str">
        <f>VLOOKUP(D49,'Dati di Supporto'!$B$2:$C$104,2,FALSE)</f>
        <v>Piemonte</v>
      </c>
      <c r="I49" t="str">
        <f>VLOOKUP(D49,'Dati di Supporto'!B49:$D$104,3,TRUE)</f>
        <v>VB</v>
      </c>
      <c r="J49" t="str">
        <f>VLOOKUP(H49,'Dati di Supporto'!$G$2:$H$21,2,FALSE)</f>
        <v>NORD</v>
      </c>
      <c r="K49">
        <f t="shared" si="0"/>
        <v>80</v>
      </c>
      <c r="L49" t="str">
        <f>_xlfn.IFS(Vendite!F49&lt;'Dati di Supporto'!$O$3,'Dati di Supporto'!$P$2,Vendite!F49&lt;'Dati di Supporto'!$O$4,'Dati di Supporto'!$P$3,Vendite!F49&lt;'Dati di Supporto'!$O$5,'Dati di Supporto'!$P$4,Vendite!F49&lt;'Dati di Supporto'!$O$6,'Dati di Supporto'!$P$5,Vendite!F49&gt;'Dati di Supporto'!$O$6,'Dati di Supporto'!$P$6)</f>
        <v>Fascia 3 (da 800 €  a meno di 1200 €)</v>
      </c>
      <c r="M49" t="str">
        <f>_xlfn.IFS(G49='Dati di Supporto'!$O$10,'Dati di Supporto'!$P$10,Vendite!G49='Dati di Supporto'!$O$11,'Dati di Supporto'!$P$11,Vendite!G49='Dati di Supporto'!$O$12,'Dati di Supporto'!$P$12,Vendite!G49='Dati di Supporto'!$O$13,'Dati di Supporto'!$P$13,Vendite!G49='Dati di Supporto'!$O$14,'Dati di Supporto'!$P$14)</f>
        <v>Bonifico Bancario</v>
      </c>
    </row>
    <row r="50" spans="1:13" x14ac:dyDescent="0.3">
      <c r="A50" s="11">
        <v>49</v>
      </c>
      <c r="B50" s="6">
        <v>41699</v>
      </c>
      <c r="C50" s="1" t="s">
        <v>2</v>
      </c>
      <c r="D50" s="2" t="s">
        <v>129</v>
      </c>
      <c r="E50" s="2" t="s">
        <v>11</v>
      </c>
      <c r="F50" s="3">
        <v>503</v>
      </c>
      <c r="G50" s="15">
        <v>5</v>
      </c>
      <c r="H50" t="str">
        <f>VLOOKUP(D50,'Dati di Supporto'!$B$2:$C$104,2,FALSE)</f>
        <v>Veneto</v>
      </c>
      <c r="I50" t="str">
        <f>VLOOKUP(D50,'Dati di Supporto'!B50:$D$104,3,TRUE)</f>
        <v>VE</v>
      </c>
      <c r="J50" t="str">
        <f>VLOOKUP(H50,'Dati di Supporto'!$G$2:$H$21,2,FALSE)</f>
        <v>NORD</v>
      </c>
      <c r="K50">
        <f t="shared" si="0"/>
        <v>84</v>
      </c>
      <c r="L50" t="str">
        <f>_xlfn.IFS(Vendite!F50&lt;'Dati di Supporto'!$O$3,'Dati di Supporto'!$P$2,Vendite!F50&lt;'Dati di Supporto'!$O$4,'Dati di Supporto'!$P$3,Vendite!F50&lt;'Dati di Supporto'!$O$5,'Dati di Supporto'!$P$4,Vendite!F50&lt;'Dati di Supporto'!$O$6,'Dati di Supporto'!$P$5,Vendite!F50&gt;'Dati di Supporto'!$O$6,'Dati di Supporto'!$P$6)</f>
        <v>Fascia 2 (da 400 €  a meno di 800 €)</v>
      </c>
      <c r="M50" t="str">
        <f>_xlfn.IFS(G50='Dati di Supporto'!$O$10,'Dati di Supporto'!$P$10,Vendite!G50='Dati di Supporto'!$O$11,'Dati di Supporto'!$P$11,Vendite!G50='Dati di Supporto'!$O$12,'Dati di Supporto'!$P$12,Vendite!G50='Dati di Supporto'!$O$13,'Dati di Supporto'!$P$13,Vendite!G50='Dati di Supporto'!$O$14,'Dati di Supporto'!$P$14)</f>
        <v>Assegno Bancario</v>
      </c>
    </row>
    <row r="51" spans="1:13" x14ac:dyDescent="0.3">
      <c r="A51" s="11">
        <v>50</v>
      </c>
      <c r="B51" s="6">
        <v>41694</v>
      </c>
      <c r="C51" s="1" t="s">
        <v>1</v>
      </c>
      <c r="D51" s="2" t="s">
        <v>135</v>
      </c>
      <c r="E51" s="2" t="s">
        <v>252</v>
      </c>
      <c r="F51" s="3">
        <v>590</v>
      </c>
      <c r="G51" s="15">
        <v>4</v>
      </c>
      <c r="H51" t="str">
        <f>VLOOKUP(D51,'Dati di Supporto'!$B$2:$C$104,2,FALSE)</f>
        <v>Lazio</v>
      </c>
      <c r="I51" t="str">
        <f>VLOOKUP(D51,'Dati di Supporto'!B51:$D$104,3,TRUE)</f>
        <v>VT</v>
      </c>
      <c r="J51" t="str">
        <f>VLOOKUP(H51,'Dati di Supporto'!$G$2:$H$21,2,FALSE)</f>
        <v>CENTRO</v>
      </c>
      <c r="K51">
        <f t="shared" si="0"/>
        <v>96</v>
      </c>
      <c r="L51" t="str">
        <f>_xlfn.IFS(Vendite!F51&lt;'Dati di Supporto'!$O$3,'Dati di Supporto'!$P$2,Vendite!F51&lt;'Dati di Supporto'!$O$4,'Dati di Supporto'!$P$3,Vendite!F51&lt;'Dati di Supporto'!$O$5,'Dati di Supporto'!$P$4,Vendite!F51&lt;'Dati di Supporto'!$O$6,'Dati di Supporto'!$P$5,Vendite!F51&gt;'Dati di Supporto'!$O$6,'Dati di Supporto'!$P$6)</f>
        <v>Fascia 2 (da 400 €  a meno di 800 €)</v>
      </c>
      <c r="M51" t="str">
        <f>_xlfn.IFS(G51='Dati di Supporto'!$O$10,'Dati di Supporto'!$P$10,Vendite!G51='Dati di Supporto'!$O$11,'Dati di Supporto'!$P$11,Vendite!G51='Dati di Supporto'!$O$12,'Dati di Supporto'!$P$12,Vendite!G51='Dati di Supporto'!$O$13,'Dati di Supporto'!$P$13,Vendite!G51='Dati di Supporto'!$O$14,'Dati di Supporto'!$P$14)</f>
        <v>Bollettino postale</v>
      </c>
    </row>
    <row r="52" spans="1:13" x14ac:dyDescent="0.3">
      <c r="A52" s="11">
        <v>51</v>
      </c>
      <c r="B52" s="6">
        <v>41750</v>
      </c>
      <c r="C52" s="1" t="s">
        <v>8</v>
      </c>
      <c r="D52" s="2" t="s">
        <v>116</v>
      </c>
      <c r="E52" s="2" t="s">
        <v>251</v>
      </c>
      <c r="F52" s="3">
        <v>1297</v>
      </c>
      <c r="G52" s="15">
        <v>1</v>
      </c>
      <c r="H52" t="str">
        <f>VLOOKUP(D52,'Dati di Supporto'!$B$2:$C$104,2,FALSE)</f>
        <v>Toscana</v>
      </c>
      <c r="I52" t="str">
        <f>VLOOKUP(D52,'Dati di Supporto'!B52:$D$104,3,TRUE)</f>
        <v>SI</v>
      </c>
      <c r="J52" t="str">
        <f>VLOOKUP(H52,'Dati di Supporto'!$G$2:$H$21,2,FALSE)</f>
        <v>CENTRO</v>
      </c>
      <c r="K52">
        <f t="shared" si="0"/>
        <v>70</v>
      </c>
      <c r="L52" t="str">
        <f>_xlfn.IFS(Vendite!F52&lt;'Dati di Supporto'!$O$3,'Dati di Supporto'!$P$2,Vendite!F52&lt;'Dati di Supporto'!$O$4,'Dati di Supporto'!$P$3,Vendite!F52&lt;'Dati di Supporto'!$O$5,'Dati di Supporto'!$P$4,Vendite!F52&lt;'Dati di Supporto'!$O$6,'Dati di Supporto'!$P$5,Vendite!F52&gt;'Dati di Supporto'!$O$6,'Dati di Supporto'!$P$6)</f>
        <v>Fascia 4 (da 1200 €  a meno di 1500 €)</v>
      </c>
      <c r="M52" t="str">
        <f>_xlfn.IFS(G52='Dati di Supporto'!$O$10,'Dati di Supporto'!$P$10,Vendite!G52='Dati di Supporto'!$O$11,'Dati di Supporto'!$P$11,Vendite!G52='Dati di Supporto'!$O$12,'Dati di Supporto'!$P$12,Vendite!G52='Dati di Supporto'!$O$13,'Dati di Supporto'!$P$13,Vendite!G52='Dati di Supporto'!$O$14,'Dati di Supporto'!$P$14)</f>
        <v>Contanti</v>
      </c>
    </row>
    <row r="53" spans="1:13" x14ac:dyDescent="0.3">
      <c r="A53" s="11">
        <v>52</v>
      </c>
      <c r="B53" s="6">
        <v>41742</v>
      </c>
      <c r="C53" s="1" t="s">
        <v>1</v>
      </c>
      <c r="D53" s="2" t="s">
        <v>121</v>
      </c>
      <c r="E53" s="2" t="s">
        <v>11</v>
      </c>
      <c r="F53" s="3">
        <v>67</v>
      </c>
      <c r="G53" s="15">
        <v>2</v>
      </c>
      <c r="H53" t="str">
        <f>VLOOKUP(D53,'Dati di Supporto'!$B$2:$C$104,2,FALSE)</f>
        <v>Umbria</v>
      </c>
      <c r="I53" t="str">
        <f>VLOOKUP(D53,'Dati di Supporto'!B53:$D$104,3,TRUE)</f>
        <v>TR</v>
      </c>
      <c r="J53" t="str">
        <f>VLOOKUP(H53,'Dati di Supporto'!$G$2:$H$21,2,FALSE)</f>
        <v>CENTRO</v>
      </c>
      <c r="K53">
        <f t="shared" si="0"/>
        <v>96</v>
      </c>
      <c r="L53" t="str">
        <f>_xlfn.IFS(Vendite!F53&lt;'Dati di Supporto'!$O$3,'Dati di Supporto'!$P$2,Vendite!F53&lt;'Dati di Supporto'!$O$4,'Dati di Supporto'!$P$3,Vendite!F53&lt;'Dati di Supporto'!$O$5,'Dati di Supporto'!$P$4,Vendite!F53&lt;'Dati di Supporto'!$O$6,'Dati di Supporto'!$P$5,Vendite!F53&gt;'Dati di Supporto'!$O$6,'Dati di Supporto'!$P$6)</f>
        <v>Fascia 1 (inferiore a 400 €)</v>
      </c>
      <c r="M53" t="str">
        <f>_xlfn.IFS(G53='Dati di Supporto'!$O$10,'Dati di Supporto'!$P$10,Vendite!G53='Dati di Supporto'!$O$11,'Dati di Supporto'!$P$11,Vendite!G53='Dati di Supporto'!$O$12,'Dati di Supporto'!$P$12,Vendite!G53='Dati di Supporto'!$O$13,'Dati di Supporto'!$P$13,Vendite!G53='Dati di Supporto'!$O$14,'Dati di Supporto'!$P$14)</f>
        <v>Bonifico Bancario</v>
      </c>
    </row>
    <row r="54" spans="1:13" x14ac:dyDescent="0.3">
      <c r="A54" s="11">
        <v>53</v>
      </c>
      <c r="B54" s="6">
        <v>41681</v>
      </c>
      <c r="C54" s="1" t="s">
        <v>8</v>
      </c>
      <c r="D54" s="2" t="s">
        <v>106</v>
      </c>
      <c r="E54" s="2" t="s">
        <v>252</v>
      </c>
      <c r="F54" s="3">
        <v>1152</v>
      </c>
      <c r="G54" s="15">
        <v>4</v>
      </c>
      <c r="H54" t="str">
        <f>VLOOKUP(D54,'Dati di Supporto'!$B$2:$C$104,2,FALSE)</f>
        <v>Toscana</v>
      </c>
      <c r="I54" t="str">
        <f>VLOOKUP(D54,'Dati di Supporto'!B54:$D$104,3,TRUE)</f>
        <v>PO</v>
      </c>
      <c r="J54" t="str">
        <f>VLOOKUP(H54,'Dati di Supporto'!$G$2:$H$21,2,FALSE)</f>
        <v>CENTRO</v>
      </c>
      <c r="K54">
        <f t="shared" si="0"/>
        <v>70</v>
      </c>
      <c r="L54" t="str">
        <f>_xlfn.IFS(Vendite!F54&lt;'Dati di Supporto'!$O$3,'Dati di Supporto'!$P$2,Vendite!F54&lt;'Dati di Supporto'!$O$4,'Dati di Supporto'!$P$3,Vendite!F54&lt;'Dati di Supporto'!$O$5,'Dati di Supporto'!$P$4,Vendite!F54&lt;'Dati di Supporto'!$O$6,'Dati di Supporto'!$P$5,Vendite!F54&gt;'Dati di Supporto'!$O$6,'Dati di Supporto'!$P$6)</f>
        <v>Fascia 3 (da 800 €  a meno di 1200 €)</v>
      </c>
      <c r="M54" t="str">
        <f>_xlfn.IFS(G54='Dati di Supporto'!$O$10,'Dati di Supporto'!$P$10,Vendite!G54='Dati di Supporto'!$O$11,'Dati di Supporto'!$P$11,Vendite!G54='Dati di Supporto'!$O$12,'Dati di Supporto'!$P$12,Vendite!G54='Dati di Supporto'!$O$13,'Dati di Supporto'!$P$13,Vendite!G54='Dati di Supporto'!$O$14,'Dati di Supporto'!$P$14)</f>
        <v>Bollettino postale</v>
      </c>
    </row>
    <row r="55" spans="1:13" x14ac:dyDescent="0.3">
      <c r="A55" s="11">
        <v>54</v>
      </c>
      <c r="B55" s="6">
        <v>41668</v>
      </c>
      <c r="C55" s="1" t="s">
        <v>2</v>
      </c>
      <c r="D55" s="2" t="s">
        <v>97</v>
      </c>
      <c r="E55" s="2" t="s">
        <v>11</v>
      </c>
      <c r="F55" s="3">
        <v>401</v>
      </c>
      <c r="G55" s="15">
        <v>2</v>
      </c>
      <c r="H55" t="str">
        <f>VLOOKUP(D55,'Dati di Supporto'!$B$2:$C$104,2,FALSE)</f>
        <v>Lombardia</v>
      </c>
      <c r="I55" t="str">
        <f>VLOOKUP(D55,'Dati di Supporto'!B55:$D$104,3,TRUE)</f>
        <v>PV</v>
      </c>
      <c r="J55" t="str">
        <f>VLOOKUP(H55,'Dati di Supporto'!$G$2:$H$21,2,FALSE)</f>
        <v>NORD</v>
      </c>
      <c r="K55">
        <f t="shared" si="0"/>
        <v>84</v>
      </c>
      <c r="L55" t="str">
        <f>_xlfn.IFS(Vendite!F55&lt;'Dati di Supporto'!$O$3,'Dati di Supporto'!$P$2,Vendite!F55&lt;'Dati di Supporto'!$O$4,'Dati di Supporto'!$P$3,Vendite!F55&lt;'Dati di Supporto'!$O$5,'Dati di Supporto'!$P$4,Vendite!F55&lt;'Dati di Supporto'!$O$6,'Dati di Supporto'!$P$5,Vendite!F55&gt;'Dati di Supporto'!$O$6,'Dati di Supporto'!$P$6)</f>
        <v>Fascia 2 (da 400 €  a meno di 800 €)</v>
      </c>
      <c r="M55" t="str">
        <f>_xlfn.IFS(G55='Dati di Supporto'!$O$10,'Dati di Supporto'!$P$10,Vendite!G55='Dati di Supporto'!$O$11,'Dati di Supporto'!$P$11,Vendite!G55='Dati di Supporto'!$O$12,'Dati di Supporto'!$P$12,Vendite!G55='Dati di Supporto'!$O$13,'Dati di Supporto'!$P$13,Vendite!G55='Dati di Supporto'!$O$14,'Dati di Supporto'!$P$14)</f>
        <v>Bonifico Bancario</v>
      </c>
    </row>
    <row r="56" spans="1:13" x14ac:dyDescent="0.3">
      <c r="A56" s="11">
        <v>55</v>
      </c>
      <c r="B56" s="6">
        <v>41721</v>
      </c>
      <c r="C56" s="1" t="s">
        <v>1</v>
      </c>
      <c r="D56" s="2" t="s">
        <v>211</v>
      </c>
      <c r="E56" s="2" t="s">
        <v>252</v>
      </c>
      <c r="F56" s="3">
        <v>596</v>
      </c>
      <c r="G56" s="15">
        <v>3</v>
      </c>
      <c r="H56" t="str">
        <f>VLOOKUP(D56,'Dati di Supporto'!$B$2:$C$104,2,FALSE)</f>
        <v>Calabria</v>
      </c>
      <c r="I56" t="str">
        <f>VLOOKUP(D56,'Dati di Supporto'!B56:$D$104,3,TRUE)</f>
        <v>RC</v>
      </c>
      <c r="J56" t="str">
        <f>VLOOKUP(H56,'Dati di Supporto'!$G$2:$H$21,2,FALSE)</f>
        <v>SUD</v>
      </c>
      <c r="K56">
        <f t="shared" si="0"/>
        <v>96</v>
      </c>
      <c r="L56" t="str">
        <f>_xlfn.IFS(Vendite!F56&lt;'Dati di Supporto'!$O$3,'Dati di Supporto'!$P$2,Vendite!F56&lt;'Dati di Supporto'!$O$4,'Dati di Supporto'!$P$3,Vendite!F56&lt;'Dati di Supporto'!$O$5,'Dati di Supporto'!$P$4,Vendite!F56&lt;'Dati di Supporto'!$O$6,'Dati di Supporto'!$P$5,Vendite!F56&gt;'Dati di Supporto'!$O$6,'Dati di Supporto'!$P$6)</f>
        <v>Fascia 2 (da 400 €  a meno di 800 €)</v>
      </c>
      <c r="M56" t="str">
        <f>_xlfn.IFS(G56='Dati di Supporto'!$O$10,'Dati di Supporto'!$P$10,Vendite!G56='Dati di Supporto'!$O$11,'Dati di Supporto'!$P$11,Vendite!G56='Dati di Supporto'!$O$12,'Dati di Supporto'!$P$12,Vendite!G56='Dati di Supporto'!$O$13,'Dati di Supporto'!$P$13,Vendite!G56='Dati di Supporto'!$O$14,'Dati di Supporto'!$P$14)</f>
        <v>Carta di credito</v>
      </c>
    </row>
    <row r="57" spans="1:13" x14ac:dyDescent="0.3">
      <c r="A57" s="11">
        <v>56</v>
      </c>
      <c r="B57" s="6">
        <v>41796</v>
      </c>
      <c r="C57" s="1" t="s">
        <v>247</v>
      </c>
      <c r="D57" s="2" t="s">
        <v>106</v>
      </c>
      <c r="E57" s="2" t="s">
        <v>10</v>
      </c>
      <c r="F57" s="3">
        <v>1724</v>
      </c>
      <c r="G57" s="15">
        <v>4</v>
      </c>
      <c r="H57" t="str">
        <f>VLOOKUP(D57,'Dati di Supporto'!$B$2:$C$104,2,FALSE)</f>
        <v>Toscana</v>
      </c>
      <c r="I57" t="str">
        <f>VLOOKUP(D57,'Dati di Supporto'!B57:$D$104,3,TRUE)</f>
        <v>PO</v>
      </c>
      <c r="J57" t="str">
        <f>VLOOKUP(H57,'Dati di Supporto'!$G$2:$H$21,2,FALSE)</f>
        <v>CENTRO</v>
      </c>
      <c r="K57">
        <f t="shared" si="0"/>
        <v>83</v>
      </c>
      <c r="L57" t="str">
        <f>_xlfn.IFS(Vendite!F57&lt;'Dati di Supporto'!$O$3,'Dati di Supporto'!$P$2,Vendite!F57&lt;'Dati di Supporto'!$O$4,'Dati di Supporto'!$P$3,Vendite!F57&lt;'Dati di Supporto'!$O$5,'Dati di Supporto'!$P$4,Vendite!F57&lt;'Dati di Supporto'!$O$6,'Dati di Supporto'!$P$5,Vendite!F57&gt;'Dati di Supporto'!$O$6,'Dati di Supporto'!$P$6)</f>
        <v>Fascia 5 (da 1500 € e oltre)</v>
      </c>
      <c r="M57" t="str">
        <f>_xlfn.IFS(G57='Dati di Supporto'!$O$10,'Dati di Supporto'!$P$10,Vendite!G57='Dati di Supporto'!$O$11,'Dati di Supporto'!$P$11,Vendite!G57='Dati di Supporto'!$O$12,'Dati di Supporto'!$P$12,Vendite!G57='Dati di Supporto'!$O$13,'Dati di Supporto'!$P$13,Vendite!G57='Dati di Supporto'!$O$14,'Dati di Supporto'!$P$14)</f>
        <v>Bollettino postale</v>
      </c>
    </row>
    <row r="58" spans="1:13" x14ac:dyDescent="0.3">
      <c r="A58" s="11">
        <v>57</v>
      </c>
      <c r="B58" s="6">
        <v>41643</v>
      </c>
      <c r="C58" s="1" t="s">
        <v>248</v>
      </c>
      <c r="D58" s="2" t="s">
        <v>110</v>
      </c>
      <c r="E58" s="2" t="s">
        <v>10</v>
      </c>
      <c r="F58" s="3">
        <v>721</v>
      </c>
      <c r="G58" s="15">
        <v>3</v>
      </c>
      <c r="H58" t="str">
        <f>VLOOKUP(D58,'Dati di Supporto'!$B$2:$C$104,2,FALSE)</f>
        <v>Emilia-Romagna</v>
      </c>
      <c r="I58" t="str">
        <f>VLOOKUP(D58,'Dati di Supporto'!B58:$D$104,3,TRUE)</f>
        <v>RN</v>
      </c>
      <c r="J58" t="str">
        <f>VLOOKUP(H58,'Dati di Supporto'!$G$2:$H$21,2,FALSE)</f>
        <v>NORD</v>
      </c>
      <c r="K58">
        <f t="shared" si="0"/>
        <v>80</v>
      </c>
      <c r="L58" t="str">
        <f>_xlfn.IFS(Vendite!F58&lt;'Dati di Supporto'!$O$3,'Dati di Supporto'!$P$2,Vendite!F58&lt;'Dati di Supporto'!$O$4,'Dati di Supporto'!$P$3,Vendite!F58&lt;'Dati di Supporto'!$O$5,'Dati di Supporto'!$P$4,Vendite!F58&lt;'Dati di Supporto'!$O$6,'Dati di Supporto'!$P$5,Vendite!F58&gt;'Dati di Supporto'!$O$6,'Dati di Supporto'!$P$6)</f>
        <v>Fascia 2 (da 400 €  a meno di 800 €)</v>
      </c>
      <c r="M58" t="str">
        <f>_xlfn.IFS(G58='Dati di Supporto'!$O$10,'Dati di Supporto'!$P$10,Vendite!G58='Dati di Supporto'!$O$11,'Dati di Supporto'!$P$11,Vendite!G58='Dati di Supporto'!$O$12,'Dati di Supporto'!$P$12,Vendite!G58='Dati di Supporto'!$O$13,'Dati di Supporto'!$P$13,Vendite!G58='Dati di Supporto'!$O$14,'Dati di Supporto'!$P$14)</f>
        <v>Carta di credito</v>
      </c>
    </row>
    <row r="59" spans="1:13" x14ac:dyDescent="0.3">
      <c r="A59" s="11">
        <v>58</v>
      </c>
      <c r="B59" s="6">
        <v>41805</v>
      </c>
      <c r="C59" s="1" t="s">
        <v>3</v>
      </c>
      <c r="D59" s="2" t="s">
        <v>101</v>
      </c>
      <c r="E59" s="2" t="s">
        <v>251</v>
      </c>
      <c r="F59" s="3">
        <v>939</v>
      </c>
      <c r="G59" s="15">
        <v>3</v>
      </c>
      <c r="H59" t="str">
        <f>VLOOKUP(D59,'Dati di Supporto'!$B$2:$C$104,2,FALSE)</f>
        <v>Emilia-Romagna</v>
      </c>
      <c r="I59" t="str">
        <f>VLOOKUP(D59,'Dati di Supporto'!B59:$D$104,3,TRUE)</f>
        <v>PC</v>
      </c>
      <c r="J59" t="str">
        <f>VLOOKUP(H59,'Dati di Supporto'!$G$2:$H$21,2,FALSE)</f>
        <v>NORD</v>
      </c>
      <c r="K59">
        <f t="shared" si="0"/>
        <v>87</v>
      </c>
      <c r="L59" t="str">
        <f>_xlfn.IFS(Vendite!F59&lt;'Dati di Supporto'!$O$3,'Dati di Supporto'!$P$2,Vendite!F59&lt;'Dati di Supporto'!$O$4,'Dati di Supporto'!$P$3,Vendite!F59&lt;'Dati di Supporto'!$O$5,'Dati di Supporto'!$P$4,Vendite!F59&lt;'Dati di Supporto'!$O$6,'Dati di Supporto'!$P$5,Vendite!F59&gt;'Dati di Supporto'!$O$6,'Dati di Supporto'!$P$6)</f>
        <v>Fascia 3 (da 800 €  a meno di 1200 €)</v>
      </c>
      <c r="M59" t="str">
        <f>_xlfn.IFS(G59='Dati di Supporto'!$O$10,'Dati di Supporto'!$P$10,Vendite!G59='Dati di Supporto'!$O$11,'Dati di Supporto'!$P$11,Vendite!G59='Dati di Supporto'!$O$12,'Dati di Supporto'!$P$12,Vendite!G59='Dati di Supporto'!$O$13,'Dati di Supporto'!$P$13,Vendite!G59='Dati di Supporto'!$O$14,'Dati di Supporto'!$P$14)</f>
        <v>Carta di credito</v>
      </c>
    </row>
    <row r="60" spans="1:13" x14ac:dyDescent="0.3">
      <c r="A60" s="11">
        <v>59</v>
      </c>
      <c r="B60" s="6">
        <v>41657</v>
      </c>
      <c r="C60" s="1" t="s">
        <v>1</v>
      </c>
      <c r="D60" s="2" t="s">
        <v>131</v>
      </c>
      <c r="E60" s="2" t="s">
        <v>250</v>
      </c>
      <c r="F60" s="3">
        <v>443</v>
      </c>
      <c r="G60" s="15">
        <v>5</v>
      </c>
      <c r="H60" t="str">
        <f>VLOOKUP(D60,'Dati di Supporto'!$B$2:$C$104,2,FALSE)</f>
        <v>Piemonte</v>
      </c>
      <c r="I60" t="str">
        <f>VLOOKUP(D60,'Dati di Supporto'!B60:$D$104,3,TRUE)</f>
        <v>VC</v>
      </c>
      <c r="J60" t="str">
        <f>VLOOKUP(H60,'Dati di Supporto'!$G$2:$H$21,2,FALSE)</f>
        <v>NORD</v>
      </c>
      <c r="K60">
        <f t="shared" si="0"/>
        <v>96</v>
      </c>
      <c r="L60" t="str">
        <f>_xlfn.IFS(Vendite!F60&lt;'Dati di Supporto'!$O$3,'Dati di Supporto'!$P$2,Vendite!F60&lt;'Dati di Supporto'!$O$4,'Dati di Supporto'!$P$3,Vendite!F60&lt;'Dati di Supporto'!$O$5,'Dati di Supporto'!$P$4,Vendite!F60&lt;'Dati di Supporto'!$O$6,'Dati di Supporto'!$P$5,Vendite!F60&gt;'Dati di Supporto'!$O$6,'Dati di Supporto'!$P$6)</f>
        <v>Fascia 2 (da 400 €  a meno di 800 €)</v>
      </c>
      <c r="M60" t="str">
        <f>_xlfn.IFS(G60='Dati di Supporto'!$O$10,'Dati di Supporto'!$P$10,Vendite!G60='Dati di Supporto'!$O$11,'Dati di Supporto'!$P$11,Vendite!G60='Dati di Supporto'!$O$12,'Dati di Supporto'!$P$12,Vendite!G60='Dati di Supporto'!$O$13,'Dati di Supporto'!$P$13,Vendite!G60='Dati di Supporto'!$O$14,'Dati di Supporto'!$P$14)</f>
        <v>Assegno Bancario</v>
      </c>
    </row>
    <row r="61" spans="1:13" x14ac:dyDescent="0.3">
      <c r="A61" s="11">
        <v>60</v>
      </c>
      <c r="B61" s="6">
        <v>41671</v>
      </c>
      <c r="C61" s="1" t="s">
        <v>3</v>
      </c>
      <c r="D61" s="2" t="s">
        <v>211</v>
      </c>
      <c r="E61" s="2" t="s">
        <v>250</v>
      </c>
      <c r="F61" s="3">
        <v>986</v>
      </c>
      <c r="G61" s="15">
        <v>5</v>
      </c>
      <c r="H61" t="str">
        <f>VLOOKUP(D61,'Dati di Supporto'!$B$2:$C$104,2,FALSE)</f>
        <v>Calabria</v>
      </c>
      <c r="I61" t="str">
        <f>VLOOKUP(D61,'Dati di Supporto'!B61:$D$104,3,TRUE)</f>
        <v>RC</v>
      </c>
      <c r="J61" t="str">
        <f>VLOOKUP(H61,'Dati di Supporto'!$G$2:$H$21,2,FALSE)</f>
        <v>SUD</v>
      </c>
      <c r="K61">
        <f t="shared" si="0"/>
        <v>87</v>
      </c>
      <c r="L61" t="str">
        <f>_xlfn.IFS(Vendite!F61&lt;'Dati di Supporto'!$O$3,'Dati di Supporto'!$P$2,Vendite!F61&lt;'Dati di Supporto'!$O$4,'Dati di Supporto'!$P$3,Vendite!F61&lt;'Dati di Supporto'!$O$5,'Dati di Supporto'!$P$4,Vendite!F61&lt;'Dati di Supporto'!$O$6,'Dati di Supporto'!$P$5,Vendite!F61&gt;'Dati di Supporto'!$O$6,'Dati di Supporto'!$P$6)</f>
        <v>Fascia 3 (da 800 €  a meno di 1200 €)</v>
      </c>
      <c r="M61" t="str">
        <f>_xlfn.IFS(G61='Dati di Supporto'!$O$10,'Dati di Supporto'!$P$10,Vendite!G61='Dati di Supporto'!$O$11,'Dati di Supporto'!$P$11,Vendite!G61='Dati di Supporto'!$O$12,'Dati di Supporto'!$P$12,Vendite!G61='Dati di Supporto'!$O$13,'Dati di Supporto'!$P$13,Vendite!G61='Dati di Supporto'!$O$14,'Dati di Supporto'!$P$14)</f>
        <v>Assegno Bancario</v>
      </c>
    </row>
    <row r="62" spans="1:13" x14ac:dyDescent="0.3">
      <c r="A62" s="11">
        <v>61</v>
      </c>
      <c r="B62" s="6">
        <v>41744</v>
      </c>
      <c r="C62" s="1" t="s">
        <v>2</v>
      </c>
      <c r="D62" s="2" t="s">
        <v>213</v>
      </c>
      <c r="E62" s="2" t="s">
        <v>11</v>
      </c>
      <c r="F62" s="3">
        <v>90</v>
      </c>
      <c r="G62" s="15">
        <v>1</v>
      </c>
      <c r="H62" t="str">
        <f>VLOOKUP(D62,'Dati di Supporto'!$B$2:$C$104,2,FALSE)</f>
        <v>Emilia-Romagna</v>
      </c>
      <c r="I62" t="str">
        <f>VLOOKUP(D62,'Dati di Supporto'!B62:$D$104,3,TRUE)</f>
        <v>RE</v>
      </c>
      <c r="J62" t="str">
        <f>VLOOKUP(H62,'Dati di Supporto'!$G$2:$H$21,2,FALSE)</f>
        <v>NORD</v>
      </c>
      <c r="K62">
        <f t="shared" si="0"/>
        <v>84</v>
      </c>
      <c r="L62" t="str">
        <f>_xlfn.IFS(Vendite!F62&lt;'Dati di Supporto'!$O$3,'Dati di Supporto'!$P$2,Vendite!F62&lt;'Dati di Supporto'!$O$4,'Dati di Supporto'!$P$3,Vendite!F62&lt;'Dati di Supporto'!$O$5,'Dati di Supporto'!$P$4,Vendite!F62&lt;'Dati di Supporto'!$O$6,'Dati di Supporto'!$P$5,Vendite!F62&gt;'Dati di Supporto'!$O$6,'Dati di Supporto'!$P$6)</f>
        <v>Fascia 1 (inferiore a 400 €)</v>
      </c>
      <c r="M62" t="str">
        <f>_xlfn.IFS(G62='Dati di Supporto'!$O$10,'Dati di Supporto'!$P$10,Vendite!G62='Dati di Supporto'!$O$11,'Dati di Supporto'!$P$11,Vendite!G62='Dati di Supporto'!$O$12,'Dati di Supporto'!$P$12,Vendite!G62='Dati di Supporto'!$O$13,'Dati di Supporto'!$P$13,Vendite!G62='Dati di Supporto'!$O$14,'Dati di Supporto'!$P$14)</f>
        <v>Contanti</v>
      </c>
    </row>
    <row r="63" spans="1:13" x14ac:dyDescent="0.3">
      <c r="A63" s="11">
        <v>62</v>
      </c>
      <c r="B63" s="6">
        <v>41801</v>
      </c>
      <c r="C63" s="1" t="s">
        <v>8</v>
      </c>
      <c r="D63" s="2" t="s">
        <v>135</v>
      </c>
      <c r="E63" s="2" t="s">
        <v>11</v>
      </c>
      <c r="F63" s="3">
        <v>32</v>
      </c>
      <c r="G63" s="15">
        <v>5</v>
      </c>
      <c r="H63" t="str">
        <f>VLOOKUP(D63,'Dati di Supporto'!$B$2:$C$104,2,FALSE)</f>
        <v>Lazio</v>
      </c>
      <c r="I63" t="str">
        <f>VLOOKUP(D63,'Dati di Supporto'!B63:$D$104,3,TRUE)</f>
        <v>VT</v>
      </c>
      <c r="J63" t="str">
        <f>VLOOKUP(H63,'Dati di Supporto'!$G$2:$H$21,2,FALSE)</f>
        <v>CENTRO</v>
      </c>
      <c r="K63">
        <f t="shared" si="0"/>
        <v>70</v>
      </c>
      <c r="L63" t="str">
        <f>_xlfn.IFS(Vendite!F63&lt;'Dati di Supporto'!$O$3,'Dati di Supporto'!$P$2,Vendite!F63&lt;'Dati di Supporto'!$O$4,'Dati di Supporto'!$P$3,Vendite!F63&lt;'Dati di Supporto'!$O$5,'Dati di Supporto'!$P$4,Vendite!F63&lt;'Dati di Supporto'!$O$6,'Dati di Supporto'!$P$5,Vendite!F63&gt;'Dati di Supporto'!$O$6,'Dati di Supporto'!$P$6)</f>
        <v>Fascia 1 (inferiore a 400 €)</v>
      </c>
      <c r="M63" t="str">
        <f>_xlfn.IFS(G63='Dati di Supporto'!$O$10,'Dati di Supporto'!$P$10,Vendite!G63='Dati di Supporto'!$O$11,'Dati di Supporto'!$P$11,Vendite!G63='Dati di Supporto'!$O$12,'Dati di Supporto'!$P$12,Vendite!G63='Dati di Supporto'!$O$13,'Dati di Supporto'!$P$13,Vendite!G63='Dati di Supporto'!$O$14,'Dati di Supporto'!$P$14)</f>
        <v>Assegno Bancario</v>
      </c>
    </row>
    <row r="64" spans="1:13" x14ac:dyDescent="0.3">
      <c r="A64" s="11">
        <v>63</v>
      </c>
      <c r="B64" s="6">
        <v>41745</v>
      </c>
      <c r="C64" s="1" t="s">
        <v>8</v>
      </c>
      <c r="D64" s="2" t="s">
        <v>125</v>
      </c>
      <c r="E64" s="2" t="s">
        <v>250</v>
      </c>
      <c r="F64" s="3">
        <v>968</v>
      </c>
      <c r="G64" s="15">
        <v>1</v>
      </c>
      <c r="H64" t="str">
        <f>VLOOKUP(D64,'Dati di Supporto'!$B$2:$C$104,2,FALSE)</f>
        <v>Veneto</v>
      </c>
      <c r="I64" t="str">
        <f>VLOOKUP(D64,'Dati di Supporto'!B64:$D$104,3,TRUE)</f>
        <v>TV</v>
      </c>
      <c r="J64" t="str">
        <f>VLOOKUP(H64,'Dati di Supporto'!$G$2:$H$21,2,FALSE)</f>
        <v>NORD</v>
      </c>
      <c r="K64">
        <f t="shared" si="0"/>
        <v>70</v>
      </c>
      <c r="L64" t="str">
        <f>_xlfn.IFS(Vendite!F64&lt;'Dati di Supporto'!$O$3,'Dati di Supporto'!$P$2,Vendite!F64&lt;'Dati di Supporto'!$O$4,'Dati di Supporto'!$P$3,Vendite!F64&lt;'Dati di Supporto'!$O$5,'Dati di Supporto'!$P$4,Vendite!F64&lt;'Dati di Supporto'!$O$6,'Dati di Supporto'!$P$5,Vendite!F64&gt;'Dati di Supporto'!$O$6,'Dati di Supporto'!$P$6)</f>
        <v>Fascia 3 (da 800 €  a meno di 1200 €)</v>
      </c>
      <c r="M64" t="str">
        <f>_xlfn.IFS(G64='Dati di Supporto'!$O$10,'Dati di Supporto'!$P$10,Vendite!G64='Dati di Supporto'!$O$11,'Dati di Supporto'!$P$11,Vendite!G64='Dati di Supporto'!$O$12,'Dati di Supporto'!$P$12,Vendite!G64='Dati di Supporto'!$O$13,'Dati di Supporto'!$P$13,Vendite!G64='Dati di Supporto'!$O$14,'Dati di Supporto'!$P$14)</f>
        <v>Contanti</v>
      </c>
    </row>
    <row r="65" spans="1:13" x14ac:dyDescent="0.3">
      <c r="A65" s="11">
        <v>64</v>
      </c>
      <c r="B65" s="6">
        <v>41674</v>
      </c>
      <c r="C65" s="1" t="s">
        <v>247</v>
      </c>
      <c r="D65" s="2" t="s">
        <v>118</v>
      </c>
      <c r="E65" s="2" t="s">
        <v>251</v>
      </c>
      <c r="F65" s="3">
        <v>772</v>
      </c>
      <c r="G65" s="15">
        <v>2</v>
      </c>
      <c r="H65" t="str">
        <f>VLOOKUP(D65,'Dati di Supporto'!$B$2:$C$104,2,FALSE)</f>
        <v>Lombardia</v>
      </c>
      <c r="I65" t="str">
        <f>VLOOKUP(D65,'Dati di Supporto'!B65:$D$104,3,TRUE)</f>
        <v>SO</v>
      </c>
      <c r="J65" t="str">
        <f>VLOOKUP(H65,'Dati di Supporto'!$G$2:$H$21,2,FALSE)</f>
        <v>NORD</v>
      </c>
      <c r="K65">
        <f t="shared" si="0"/>
        <v>83</v>
      </c>
      <c r="L65" t="str">
        <f>_xlfn.IFS(Vendite!F65&lt;'Dati di Supporto'!$O$3,'Dati di Supporto'!$P$2,Vendite!F65&lt;'Dati di Supporto'!$O$4,'Dati di Supporto'!$P$3,Vendite!F65&lt;'Dati di Supporto'!$O$5,'Dati di Supporto'!$P$4,Vendite!F65&lt;'Dati di Supporto'!$O$6,'Dati di Supporto'!$P$5,Vendite!F65&gt;'Dati di Supporto'!$O$6,'Dati di Supporto'!$P$6)</f>
        <v>Fascia 2 (da 400 €  a meno di 800 €)</v>
      </c>
      <c r="M65" t="str">
        <f>_xlfn.IFS(G65='Dati di Supporto'!$O$10,'Dati di Supporto'!$P$10,Vendite!G65='Dati di Supporto'!$O$11,'Dati di Supporto'!$P$11,Vendite!G65='Dati di Supporto'!$O$12,'Dati di Supporto'!$P$12,Vendite!G65='Dati di Supporto'!$O$13,'Dati di Supporto'!$P$13,Vendite!G65='Dati di Supporto'!$O$14,'Dati di Supporto'!$P$14)</f>
        <v>Bonifico Bancario</v>
      </c>
    </row>
    <row r="66" spans="1:13" x14ac:dyDescent="0.3">
      <c r="A66" s="11">
        <v>65</v>
      </c>
      <c r="B66" s="6">
        <v>41724</v>
      </c>
      <c r="C66" s="1" t="s">
        <v>248</v>
      </c>
      <c r="D66" s="2" t="s">
        <v>123</v>
      </c>
      <c r="E66" s="2" t="s">
        <v>10</v>
      </c>
      <c r="F66" s="3">
        <v>1838</v>
      </c>
      <c r="G66" s="15">
        <v>3</v>
      </c>
      <c r="H66" t="str">
        <f>VLOOKUP(D66,'Dati di Supporto'!$B$2:$C$104,2,FALSE)</f>
        <v>Sicilia</v>
      </c>
      <c r="I66" t="str">
        <f>VLOOKUP(D66,'Dati di Supporto'!B66:$D$104,3,TRUE)</f>
        <v>TP</v>
      </c>
      <c r="J66" t="str">
        <f>VLOOKUP(H66,'Dati di Supporto'!$G$2:$H$21,2,FALSE)</f>
        <v>ISOLE</v>
      </c>
      <c r="K66">
        <f t="shared" si="0"/>
        <v>80</v>
      </c>
      <c r="L66" t="str">
        <f>_xlfn.IFS(Vendite!F66&lt;'Dati di Supporto'!$O$3,'Dati di Supporto'!$P$2,Vendite!F66&lt;'Dati di Supporto'!$O$4,'Dati di Supporto'!$P$3,Vendite!F66&lt;'Dati di Supporto'!$O$5,'Dati di Supporto'!$P$4,Vendite!F66&lt;'Dati di Supporto'!$O$6,'Dati di Supporto'!$P$5,Vendite!F66&gt;'Dati di Supporto'!$O$6,'Dati di Supporto'!$P$6)</f>
        <v>Fascia 5 (da 1500 € e oltre)</v>
      </c>
      <c r="M66" t="str">
        <f>_xlfn.IFS(G66='Dati di Supporto'!$O$10,'Dati di Supporto'!$P$10,Vendite!G66='Dati di Supporto'!$O$11,'Dati di Supporto'!$P$11,Vendite!G66='Dati di Supporto'!$O$12,'Dati di Supporto'!$P$12,Vendite!G66='Dati di Supporto'!$O$13,'Dati di Supporto'!$P$13,Vendite!G66='Dati di Supporto'!$O$14,'Dati di Supporto'!$P$14)</f>
        <v>Carta di credito</v>
      </c>
    </row>
    <row r="67" spans="1:13" x14ac:dyDescent="0.3">
      <c r="A67" s="11">
        <v>66</v>
      </c>
      <c r="B67" s="6">
        <v>41816</v>
      </c>
      <c r="C67" s="1" t="s">
        <v>3</v>
      </c>
      <c r="D67" s="2" t="s">
        <v>118</v>
      </c>
      <c r="E67" s="2" t="s">
        <v>250</v>
      </c>
      <c r="F67" s="3">
        <v>191</v>
      </c>
      <c r="G67" s="15">
        <v>1</v>
      </c>
      <c r="H67" t="str">
        <f>VLOOKUP(D67,'Dati di Supporto'!$B$2:$C$104,2,FALSE)</f>
        <v>Lombardia</v>
      </c>
      <c r="I67" t="str">
        <f>VLOOKUP(D67,'Dati di Supporto'!B67:$D$104,3,TRUE)</f>
        <v>SO</v>
      </c>
      <c r="J67" t="str">
        <f>VLOOKUP(H67,'Dati di Supporto'!$G$2:$H$21,2,FALSE)</f>
        <v>NORD</v>
      </c>
      <c r="K67">
        <f t="shared" ref="K67:K130" si="1">COUNTIF($C$2:$C$501,C67)</f>
        <v>87</v>
      </c>
      <c r="L67" t="str">
        <f>_xlfn.IFS(Vendite!F67&lt;'Dati di Supporto'!$O$3,'Dati di Supporto'!$P$2,Vendite!F67&lt;'Dati di Supporto'!$O$4,'Dati di Supporto'!$P$3,Vendite!F67&lt;'Dati di Supporto'!$O$5,'Dati di Supporto'!$P$4,Vendite!F67&lt;'Dati di Supporto'!$O$6,'Dati di Supporto'!$P$5,Vendite!F67&gt;'Dati di Supporto'!$O$6,'Dati di Supporto'!$P$6)</f>
        <v>Fascia 1 (inferiore a 400 €)</v>
      </c>
      <c r="M67" t="str">
        <f>_xlfn.IFS(G67='Dati di Supporto'!$O$10,'Dati di Supporto'!$P$10,Vendite!G67='Dati di Supporto'!$O$11,'Dati di Supporto'!$P$11,Vendite!G67='Dati di Supporto'!$O$12,'Dati di Supporto'!$P$12,Vendite!G67='Dati di Supporto'!$O$13,'Dati di Supporto'!$P$13,Vendite!G67='Dati di Supporto'!$O$14,'Dati di Supporto'!$P$14)</f>
        <v>Contanti</v>
      </c>
    </row>
    <row r="68" spans="1:13" x14ac:dyDescent="0.3">
      <c r="A68" s="11">
        <v>67</v>
      </c>
      <c r="B68" s="6">
        <v>41700</v>
      </c>
      <c r="C68" s="1" t="s">
        <v>8</v>
      </c>
      <c r="D68" s="2" t="s">
        <v>130</v>
      </c>
      <c r="E68" s="2" t="s">
        <v>251</v>
      </c>
      <c r="F68" s="3">
        <v>1334</v>
      </c>
      <c r="G68" s="15">
        <v>1</v>
      </c>
      <c r="H68" t="str">
        <f>VLOOKUP(D68,'Dati di Supporto'!$B$2:$C$104,2,FALSE)</f>
        <v>Piemonte</v>
      </c>
      <c r="I68" t="str">
        <f>VLOOKUP(D68,'Dati di Supporto'!B68:$D$104,3,TRUE)</f>
        <v>VB</v>
      </c>
      <c r="J68" t="str">
        <f>VLOOKUP(H68,'Dati di Supporto'!$G$2:$H$21,2,FALSE)</f>
        <v>NORD</v>
      </c>
      <c r="K68">
        <f t="shared" si="1"/>
        <v>70</v>
      </c>
      <c r="L68" t="str">
        <f>_xlfn.IFS(Vendite!F68&lt;'Dati di Supporto'!$O$3,'Dati di Supporto'!$P$2,Vendite!F68&lt;'Dati di Supporto'!$O$4,'Dati di Supporto'!$P$3,Vendite!F68&lt;'Dati di Supporto'!$O$5,'Dati di Supporto'!$P$4,Vendite!F68&lt;'Dati di Supporto'!$O$6,'Dati di Supporto'!$P$5,Vendite!F68&gt;'Dati di Supporto'!$O$6,'Dati di Supporto'!$P$6)</f>
        <v>Fascia 4 (da 1200 €  a meno di 1500 €)</v>
      </c>
      <c r="M68" t="str">
        <f>_xlfn.IFS(G68='Dati di Supporto'!$O$10,'Dati di Supporto'!$P$10,Vendite!G68='Dati di Supporto'!$O$11,'Dati di Supporto'!$P$11,Vendite!G68='Dati di Supporto'!$O$12,'Dati di Supporto'!$P$12,Vendite!G68='Dati di Supporto'!$O$13,'Dati di Supporto'!$P$13,Vendite!G68='Dati di Supporto'!$O$14,'Dati di Supporto'!$P$14)</f>
        <v>Contanti</v>
      </c>
    </row>
    <row r="69" spans="1:13" x14ac:dyDescent="0.3">
      <c r="A69" s="11">
        <v>68</v>
      </c>
      <c r="B69" s="6">
        <v>41659</v>
      </c>
      <c r="C69" s="1" t="s">
        <v>1</v>
      </c>
      <c r="D69" s="2" t="s">
        <v>122</v>
      </c>
      <c r="E69" s="2" t="s">
        <v>10</v>
      </c>
      <c r="F69" s="3">
        <v>1707</v>
      </c>
      <c r="G69" s="15">
        <v>4</v>
      </c>
      <c r="H69" t="str">
        <f>VLOOKUP(D69,'Dati di Supporto'!$B$2:$C$104,2,FALSE)</f>
        <v>Piemonte</v>
      </c>
      <c r="I69" t="str">
        <f>VLOOKUP(D69,'Dati di Supporto'!B69:$D$104,3,TRUE)</f>
        <v>TO</v>
      </c>
      <c r="J69" t="str">
        <f>VLOOKUP(H69,'Dati di Supporto'!$G$2:$H$21,2,FALSE)</f>
        <v>NORD</v>
      </c>
      <c r="K69">
        <f t="shared" si="1"/>
        <v>96</v>
      </c>
      <c r="L69" t="str">
        <f>_xlfn.IFS(Vendite!F69&lt;'Dati di Supporto'!$O$3,'Dati di Supporto'!$P$2,Vendite!F69&lt;'Dati di Supporto'!$O$4,'Dati di Supporto'!$P$3,Vendite!F69&lt;'Dati di Supporto'!$O$5,'Dati di Supporto'!$P$4,Vendite!F69&lt;'Dati di Supporto'!$O$6,'Dati di Supporto'!$P$5,Vendite!F69&gt;'Dati di Supporto'!$O$6,'Dati di Supporto'!$P$6)</f>
        <v>Fascia 5 (da 1500 € e oltre)</v>
      </c>
      <c r="M69" t="str">
        <f>_xlfn.IFS(G69='Dati di Supporto'!$O$10,'Dati di Supporto'!$P$10,Vendite!G69='Dati di Supporto'!$O$11,'Dati di Supporto'!$P$11,Vendite!G69='Dati di Supporto'!$O$12,'Dati di Supporto'!$P$12,Vendite!G69='Dati di Supporto'!$O$13,'Dati di Supporto'!$P$13,Vendite!G69='Dati di Supporto'!$O$14,'Dati di Supporto'!$P$14)</f>
        <v>Bollettino postale</v>
      </c>
    </row>
    <row r="70" spans="1:13" x14ac:dyDescent="0.3">
      <c r="A70" s="11">
        <v>69</v>
      </c>
      <c r="B70" s="6">
        <v>41641</v>
      </c>
      <c r="C70" s="1" t="s">
        <v>1</v>
      </c>
      <c r="D70" s="2" t="s">
        <v>110</v>
      </c>
      <c r="E70" s="2" t="s">
        <v>252</v>
      </c>
      <c r="F70" s="3">
        <v>897</v>
      </c>
      <c r="G70" s="15">
        <v>2</v>
      </c>
      <c r="H70" t="str">
        <f>VLOOKUP(D70,'Dati di Supporto'!$B$2:$C$104,2,FALSE)</f>
        <v>Emilia-Romagna</v>
      </c>
      <c r="I70" t="str">
        <f>VLOOKUP(D70,'Dati di Supporto'!B70:$D$104,3,TRUE)</f>
        <v>RN</v>
      </c>
      <c r="J70" t="str">
        <f>VLOOKUP(H70,'Dati di Supporto'!$G$2:$H$21,2,FALSE)</f>
        <v>NORD</v>
      </c>
      <c r="K70">
        <f t="shared" si="1"/>
        <v>96</v>
      </c>
      <c r="L70" t="str">
        <f>_xlfn.IFS(Vendite!F70&lt;'Dati di Supporto'!$O$3,'Dati di Supporto'!$P$2,Vendite!F70&lt;'Dati di Supporto'!$O$4,'Dati di Supporto'!$P$3,Vendite!F70&lt;'Dati di Supporto'!$O$5,'Dati di Supporto'!$P$4,Vendite!F70&lt;'Dati di Supporto'!$O$6,'Dati di Supporto'!$P$5,Vendite!F70&gt;'Dati di Supporto'!$O$6,'Dati di Supporto'!$P$6)</f>
        <v>Fascia 3 (da 800 €  a meno di 1200 €)</v>
      </c>
      <c r="M70" t="str">
        <f>_xlfn.IFS(G70='Dati di Supporto'!$O$10,'Dati di Supporto'!$P$10,Vendite!G70='Dati di Supporto'!$O$11,'Dati di Supporto'!$P$11,Vendite!G70='Dati di Supporto'!$O$12,'Dati di Supporto'!$P$12,Vendite!G70='Dati di Supporto'!$O$13,'Dati di Supporto'!$P$13,Vendite!G70='Dati di Supporto'!$O$14,'Dati di Supporto'!$P$14)</f>
        <v>Bonifico Bancario</v>
      </c>
    </row>
    <row r="71" spans="1:13" x14ac:dyDescent="0.3">
      <c r="A71" s="11">
        <v>70</v>
      </c>
      <c r="B71" s="6">
        <v>41792</v>
      </c>
      <c r="C71" s="1" t="s">
        <v>1</v>
      </c>
      <c r="D71" s="2" t="s">
        <v>120</v>
      </c>
      <c r="E71" s="2" t="s">
        <v>10</v>
      </c>
      <c r="F71" s="3">
        <v>816</v>
      </c>
      <c r="G71" s="15">
        <v>1</v>
      </c>
      <c r="H71" t="str">
        <f>VLOOKUP(D71,'Dati di Supporto'!$B$2:$C$104,2,FALSE)</f>
        <v>Abruzzo</v>
      </c>
      <c r="I71" t="str">
        <f>VLOOKUP(D71,'Dati di Supporto'!B71:$D$104,3,TRUE)</f>
        <v>TE</v>
      </c>
      <c r="J71" t="str">
        <f>VLOOKUP(H71,'Dati di Supporto'!$G$2:$H$21,2,FALSE)</f>
        <v>CENTRO</v>
      </c>
      <c r="K71">
        <f t="shared" si="1"/>
        <v>96</v>
      </c>
      <c r="L71" t="str">
        <f>_xlfn.IFS(Vendite!F71&lt;'Dati di Supporto'!$O$3,'Dati di Supporto'!$P$2,Vendite!F71&lt;'Dati di Supporto'!$O$4,'Dati di Supporto'!$P$3,Vendite!F71&lt;'Dati di Supporto'!$O$5,'Dati di Supporto'!$P$4,Vendite!F71&lt;'Dati di Supporto'!$O$6,'Dati di Supporto'!$P$5,Vendite!F71&gt;'Dati di Supporto'!$O$6,'Dati di Supporto'!$P$6)</f>
        <v>Fascia 3 (da 800 €  a meno di 1200 €)</v>
      </c>
      <c r="M71" t="str">
        <f>_xlfn.IFS(G71='Dati di Supporto'!$O$10,'Dati di Supporto'!$P$10,Vendite!G71='Dati di Supporto'!$O$11,'Dati di Supporto'!$P$11,Vendite!G71='Dati di Supporto'!$O$12,'Dati di Supporto'!$P$12,Vendite!G71='Dati di Supporto'!$O$13,'Dati di Supporto'!$P$13,Vendite!G71='Dati di Supporto'!$O$14,'Dati di Supporto'!$P$14)</f>
        <v>Contanti</v>
      </c>
    </row>
    <row r="72" spans="1:13" x14ac:dyDescent="0.3">
      <c r="A72" s="11">
        <v>71</v>
      </c>
      <c r="B72" s="6">
        <v>41802</v>
      </c>
      <c r="C72" s="1" t="s">
        <v>3</v>
      </c>
      <c r="D72" s="2" t="s">
        <v>133</v>
      </c>
      <c r="E72" s="2" t="s">
        <v>252</v>
      </c>
      <c r="F72" s="3">
        <v>1049</v>
      </c>
      <c r="G72" s="15">
        <v>3</v>
      </c>
      <c r="H72" t="str">
        <f>VLOOKUP(D72,'Dati di Supporto'!$B$2:$C$104,2,FALSE)</f>
        <v>Calabria</v>
      </c>
      <c r="I72" t="str">
        <f>VLOOKUP(D72,'Dati di Supporto'!B72:$D$104,3,TRUE)</f>
        <v>VV</v>
      </c>
      <c r="J72" t="str">
        <f>VLOOKUP(H72,'Dati di Supporto'!$G$2:$H$21,2,FALSE)</f>
        <v>SUD</v>
      </c>
      <c r="K72">
        <f t="shared" si="1"/>
        <v>87</v>
      </c>
      <c r="L72" t="str">
        <f>_xlfn.IFS(Vendite!F72&lt;'Dati di Supporto'!$O$3,'Dati di Supporto'!$P$2,Vendite!F72&lt;'Dati di Supporto'!$O$4,'Dati di Supporto'!$P$3,Vendite!F72&lt;'Dati di Supporto'!$O$5,'Dati di Supporto'!$P$4,Vendite!F72&lt;'Dati di Supporto'!$O$6,'Dati di Supporto'!$P$5,Vendite!F72&gt;'Dati di Supporto'!$O$6,'Dati di Supporto'!$P$6)</f>
        <v>Fascia 3 (da 800 €  a meno di 1200 €)</v>
      </c>
      <c r="M72" t="str">
        <f>_xlfn.IFS(G72='Dati di Supporto'!$O$10,'Dati di Supporto'!$P$10,Vendite!G72='Dati di Supporto'!$O$11,'Dati di Supporto'!$P$11,Vendite!G72='Dati di Supporto'!$O$12,'Dati di Supporto'!$P$12,Vendite!G72='Dati di Supporto'!$O$13,'Dati di Supporto'!$P$13,Vendite!G72='Dati di Supporto'!$O$14,'Dati di Supporto'!$P$14)</f>
        <v>Carta di credito</v>
      </c>
    </row>
    <row r="73" spans="1:13" x14ac:dyDescent="0.3">
      <c r="A73" s="11">
        <v>72</v>
      </c>
      <c r="B73" s="6">
        <v>41762</v>
      </c>
      <c r="C73" s="1" t="s">
        <v>1</v>
      </c>
      <c r="D73" s="2" t="s">
        <v>98</v>
      </c>
      <c r="E73" s="2" t="s">
        <v>252</v>
      </c>
      <c r="F73" s="3">
        <v>1037</v>
      </c>
      <c r="G73" s="15">
        <v>4</v>
      </c>
      <c r="H73" t="str">
        <f>VLOOKUP(D73,'Dati di Supporto'!$B$2:$C$104,2,FALSE)</f>
        <v>Umbria</v>
      </c>
      <c r="I73" t="str">
        <f>VLOOKUP(D73,'Dati di Supporto'!$B$2:$D$104,3,FALSE)</f>
        <v>PG</v>
      </c>
      <c r="J73" t="str">
        <f>VLOOKUP(H73,'Dati di Supporto'!$G$2:$H$21,2,FALSE)</f>
        <v>CENTRO</v>
      </c>
      <c r="K73">
        <f t="shared" si="1"/>
        <v>96</v>
      </c>
      <c r="L73" t="str">
        <f>_xlfn.IFS(Vendite!F73&lt;'Dati di Supporto'!$O$3,'Dati di Supporto'!$P$2,Vendite!F73&lt;'Dati di Supporto'!$O$4,'Dati di Supporto'!$P$3,Vendite!F73&lt;'Dati di Supporto'!$O$5,'Dati di Supporto'!$P$4,Vendite!F73&lt;'Dati di Supporto'!$O$6,'Dati di Supporto'!$P$5,Vendite!F73&gt;'Dati di Supporto'!$O$6,'Dati di Supporto'!$P$6)</f>
        <v>Fascia 3 (da 800 €  a meno di 1200 €)</v>
      </c>
      <c r="M73" t="str">
        <f>_xlfn.IFS(G73='Dati di Supporto'!$O$10,'Dati di Supporto'!$P$10,Vendite!G73='Dati di Supporto'!$O$11,'Dati di Supporto'!$P$11,Vendite!G73='Dati di Supporto'!$O$12,'Dati di Supporto'!$P$12,Vendite!G73='Dati di Supporto'!$O$13,'Dati di Supporto'!$P$13,Vendite!G73='Dati di Supporto'!$O$14,'Dati di Supporto'!$P$14)</f>
        <v>Bollettino postale</v>
      </c>
    </row>
    <row r="74" spans="1:13" x14ac:dyDescent="0.3">
      <c r="A74" s="11">
        <v>73</v>
      </c>
      <c r="B74" s="6">
        <v>41738</v>
      </c>
      <c r="C74" s="1" t="s">
        <v>3</v>
      </c>
      <c r="D74" s="2" t="s">
        <v>104</v>
      </c>
      <c r="E74" s="2" t="s">
        <v>250</v>
      </c>
      <c r="F74" s="3">
        <v>1235</v>
      </c>
      <c r="G74" s="15">
        <v>3</v>
      </c>
      <c r="H74" t="str">
        <f>VLOOKUP(D74,'Dati di Supporto'!$B$2:$C$104,2,FALSE)</f>
        <v>Friuli-Venezia Giulia</v>
      </c>
      <c r="I74" t="str">
        <f>VLOOKUP(D74,'Dati di Supporto'!$B$2:$D$104,3,FALSE)</f>
        <v>PN</v>
      </c>
      <c r="J74" t="str">
        <f>VLOOKUP(H74,'Dati di Supporto'!$G$2:$H$21,2,FALSE)</f>
        <v>NORD</v>
      </c>
      <c r="K74">
        <f t="shared" si="1"/>
        <v>87</v>
      </c>
      <c r="L74" t="str">
        <f>_xlfn.IFS(Vendite!F74&lt;'Dati di Supporto'!$O$3,'Dati di Supporto'!$P$2,Vendite!F74&lt;'Dati di Supporto'!$O$4,'Dati di Supporto'!$P$3,Vendite!F74&lt;'Dati di Supporto'!$O$5,'Dati di Supporto'!$P$4,Vendite!F74&lt;'Dati di Supporto'!$O$6,'Dati di Supporto'!$P$5,Vendite!F74&gt;'Dati di Supporto'!$O$6,'Dati di Supporto'!$P$6)</f>
        <v>Fascia 4 (da 1200 €  a meno di 1500 €)</v>
      </c>
      <c r="M74" t="str">
        <f>_xlfn.IFS(G74='Dati di Supporto'!$O$10,'Dati di Supporto'!$P$10,Vendite!G74='Dati di Supporto'!$O$11,'Dati di Supporto'!$P$11,Vendite!G74='Dati di Supporto'!$O$12,'Dati di Supporto'!$P$12,Vendite!G74='Dati di Supporto'!$O$13,'Dati di Supporto'!$P$13,Vendite!G74='Dati di Supporto'!$O$14,'Dati di Supporto'!$P$14)</f>
        <v>Carta di credito</v>
      </c>
    </row>
    <row r="75" spans="1:13" x14ac:dyDescent="0.3">
      <c r="A75" s="11">
        <v>74</v>
      </c>
      <c r="B75" s="6">
        <v>41720</v>
      </c>
      <c r="C75" s="1" t="s">
        <v>2</v>
      </c>
      <c r="D75" s="2" t="s">
        <v>127</v>
      </c>
      <c r="E75" s="2" t="s">
        <v>11</v>
      </c>
      <c r="F75" s="3">
        <v>294</v>
      </c>
      <c r="G75" s="15">
        <v>3</v>
      </c>
      <c r="H75" t="str">
        <f>VLOOKUP(D75,'Dati di Supporto'!$B$2:$C$104,2,FALSE)</f>
        <v>Friuli-Venezia Giulia</v>
      </c>
      <c r="I75" t="str">
        <f>VLOOKUP(D75,'Dati di Supporto'!$B$2:$D$104,3,FALSE)</f>
        <v>UD</v>
      </c>
      <c r="J75" t="str">
        <f>VLOOKUP(H75,'Dati di Supporto'!$G$2:$H$21,2,FALSE)</f>
        <v>NORD</v>
      </c>
      <c r="K75">
        <f t="shared" si="1"/>
        <v>84</v>
      </c>
      <c r="L75" t="str">
        <f>_xlfn.IFS(Vendite!F75&lt;'Dati di Supporto'!$O$3,'Dati di Supporto'!$P$2,Vendite!F75&lt;'Dati di Supporto'!$O$4,'Dati di Supporto'!$P$3,Vendite!F75&lt;'Dati di Supporto'!$O$5,'Dati di Supporto'!$P$4,Vendite!F75&lt;'Dati di Supporto'!$O$6,'Dati di Supporto'!$P$5,Vendite!F75&gt;'Dati di Supporto'!$O$6,'Dati di Supporto'!$P$6)</f>
        <v>Fascia 1 (inferiore a 400 €)</v>
      </c>
      <c r="M75" t="str">
        <f>_xlfn.IFS(G75='Dati di Supporto'!$O$10,'Dati di Supporto'!$P$10,Vendite!G75='Dati di Supporto'!$O$11,'Dati di Supporto'!$P$11,Vendite!G75='Dati di Supporto'!$O$12,'Dati di Supporto'!$P$12,Vendite!G75='Dati di Supporto'!$O$13,'Dati di Supporto'!$P$13,Vendite!G75='Dati di Supporto'!$O$14,'Dati di Supporto'!$P$14)</f>
        <v>Carta di credito</v>
      </c>
    </row>
    <row r="76" spans="1:13" x14ac:dyDescent="0.3">
      <c r="A76" s="11">
        <v>75</v>
      </c>
      <c r="B76" s="6">
        <v>41715</v>
      </c>
      <c r="C76" s="1" t="s">
        <v>248</v>
      </c>
      <c r="D76" s="2" t="s">
        <v>128</v>
      </c>
      <c r="E76" s="2" t="s">
        <v>250</v>
      </c>
      <c r="F76" s="3">
        <v>785</v>
      </c>
      <c r="G76" s="15">
        <v>4</v>
      </c>
      <c r="H76" t="str">
        <f>VLOOKUP(D76,'Dati di Supporto'!$B$2:$C$104,2,FALSE)</f>
        <v>Lombardia</v>
      </c>
      <c r="I76" t="str">
        <f>VLOOKUP(D76,'Dati di Supporto'!$B$2:$D$104,3,FALSE)</f>
        <v>VA</v>
      </c>
      <c r="J76" t="str">
        <f>VLOOKUP(H76,'Dati di Supporto'!$G$2:$H$21,2,FALSE)</f>
        <v>NORD</v>
      </c>
      <c r="K76">
        <f t="shared" si="1"/>
        <v>80</v>
      </c>
      <c r="L76" t="str">
        <f>_xlfn.IFS(Vendite!F76&lt;'Dati di Supporto'!$O$3,'Dati di Supporto'!$P$2,Vendite!F76&lt;'Dati di Supporto'!$O$4,'Dati di Supporto'!$P$3,Vendite!F76&lt;'Dati di Supporto'!$O$5,'Dati di Supporto'!$P$4,Vendite!F76&lt;'Dati di Supporto'!$O$6,'Dati di Supporto'!$P$5,Vendite!F76&gt;'Dati di Supporto'!$O$6,'Dati di Supporto'!$P$6)</f>
        <v>Fascia 2 (da 400 €  a meno di 800 €)</v>
      </c>
      <c r="M76" t="str">
        <f>_xlfn.IFS(G76='Dati di Supporto'!$O$10,'Dati di Supporto'!$P$10,Vendite!G76='Dati di Supporto'!$O$11,'Dati di Supporto'!$P$11,Vendite!G76='Dati di Supporto'!$O$12,'Dati di Supporto'!$P$12,Vendite!G76='Dati di Supporto'!$O$13,'Dati di Supporto'!$P$13,Vendite!G76='Dati di Supporto'!$O$14,'Dati di Supporto'!$P$14)</f>
        <v>Bollettino postale</v>
      </c>
    </row>
    <row r="77" spans="1:13" x14ac:dyDescent="0.3">
      <c r="A77" s="11">
        <v>76</v>
      </c>
      <c r="B77" s="6">
        <v>41728</v>
      </c>
      <c r="C77" s="1" t="s">
        <v>3</v>
      </c>
      <c r="D77" s="2" t="s">
        <v>99</v>
      </c>
      <c r="E77" s="2" t="s">
        <v>11</v>
      </c>
      <c r="F77" s="3">
        <v>568</v>
      </c>
      <c r="G77" s="15">
        <v>4</v>
      </c>
      <c r="H77" t="str">
        <f>VLOOKUP(D77,'Dati di Supporto'!$B$2:$C$104,2,FALSE)</f>
        <v>Marche</v>
      </c>
      <c r="I77" t="str">
        <f>VLOOKUP(D77,'Dati di Supporto'!$B$2:$D$104,3,FALSE)</f>
        <v>PS</v>
      </c>
      <c r="J77" t="str">
        <f>VLOOKUP(H77,'Dati di Supporto'!$G$2:$H$21,2,FALSE)</f>
        <v>CENTRO</v>
      </c>
      <c r="K77">
        <f t="shared" si="1"/>
        <v>87</v>
      </c>
      <c r="L77" t="str">
        <f>_xlfn.IFS(Vendite!F77&lt;'Dati di Supporto'!$O$3,'Dati di Supporto'!$P$2,Vendite!F77&lt;'Dati di Supporto'!$O$4,'Dati di Supporto'!$P$3,Vendite!F77&lt;'Dati di Supporto'!$O$5,'Dati di Supporto'!$P$4,Vendite!F77&lt;'Dati di Supporto'!$O$6,'Dati di Supporto'!$P$5,Vendite!F77&gt;'Dati di Supporto'!$O$6,'Dati di Supporto'!$P$6)</f>
        <v>Fascia 2 (da 400 €  a meno di 800 €)</v>
      </c>
      <c r="M77" t="str">
        <f>_xlfn.IFS(G77='Dati di Supporto'!$O$10,'Dati di Supporto'!$P$10,Vendite!G77='Dati di Supporto'!$O$11,'Dati di Supporto'!$P$11,Vendite!G77='Dati di Supporto'!$O$12,'Dati di Supporto'!$P$12,Vendite!G77='Dati di Supporto'!$O$13,'Dati di Supporto'!$P$13,Vendite!G77='Dati di Supporto'!$O$14,'Dati di Supporto'!$P$14)</f>
        <v>Bollettino postale</v>
      </c>
    </row>
    <row r="78" spans="1:13" x14ac:dyDescent="0.3">
      <c r="A78" s="11">
        <v>77</v>
      </c>
      <c r="B78" s="6">
        <v>41677</v>
      </c>
      <c r="C78" s="1" t="s">
        <v>3</v>
      </c>
      <c r="D78" s="2" t="s">
        <v>122</v>
      </c>
      <c r="E78" s="2" t="s">
        <v>251</v>
      </c>
      <c r="F78" s="3">
        <v>1932</v>
      </c>
      <c r="G78" s="15">
        <v>3</v>
      </c>
      <c r="H78" t="str">
        <f>VLOOKUP(D78,'Dati di Supporto'!$B$2:$C$104,2,FALSE)</f>
        <v>Piemonte</v>
      </c>
      <c r="I78" t="str">
        <f>VLOOKUP(D78,'Dati di Supporto'!$B$2:$D$104,3,FALSE)</f>
        <v>TO</v>
      </c>
      <c r="J78" t="str">
        <f>VLOOKUP(H78,'Dati di Supporto'!$G$2:$H$21,2,FALSE)</f>
        <v>NORD</v>
      </c>
      <c r="K78">
        <f t="shared" si="1"/>
        <v>87</v>
      </c>
      <c r="L78" t="str">
        <f>_xlfn.IFS(Vendite!F78&lt;'Dati di Supporto'!$O$3,'Dati di Supporto'!$P$2,Vendite!F78&lt;'Dati di Supporto'!$O$4,'Dati di Supporto'!$P$3,Vendite!F78&lt;'Dati di Supporto'!$O$5,'Dati di Supporto'!$P$4,Vendite!F78&lt;'Dati di Supporto'!$O$6,'Dati di Supporto'!$P$5,Vendite!F78&gt;'Dati di Supporto'!$O$6,'Dati di Supporto'!$P$6)</f>
        <v>Fascia 5 (da 1500 € e oltre)</v>
      </c>
      <c r="M78" t="str">
        <f>_xlfn.IFS(G78='Dati di Supporto'!$O$10,'Dati di Supporto'!$P$10,Vendite!G78='Dati di Supporto'!$O$11,'Dati di Supporto'!$P$11,Vendite!G78='Dati di Supporto'!$O$12,'Dati di Supporto'!$P$12,Vendite!G78='Dati di Supporto'!$O$13,'Dati di Supporto'!$P$13,Vendite!G78='Dati di Supporto'!$O$14,'Dati di Supporto'!$P$14)</f>
        <v>Carta di credito</v>
      </c>
    </row>
    <row r="79" spans="1:13" x14ac:dyDescent="0.3">
      <c r="A79" s="11">
        <v>78</v>
      </c>
      <c r="B79" s="6">
        <v>41677</v>
      </c>
      <c r="C79" s="1" t="s">
        <v>8</v>
      </c>
      <c r="D79" s="2" t="s">
        <v>103</v>
      </c>
      <c r="E79" s="2" t="s">
        <v>10</v>
      </c>
      <c r="F79" s="3">
        <v>1124</v>
      </c>
      <c r="G79" s="15">
        <v>4</v>
      </c>
      <c r="H79" t="str">
        <f>VLOOKUP(D79,'Dati di Supporto'!$B$2:$C$104,2,FALSE)</f>
        <v>Toscana</v>
      </c>
      <c r="I79" t="str">
        <f>VLOOKUP(D79,'Dati di Supporto'!$B$2:$D$104,3,FALSE)</f>
        <v>PT</v>
      </c>
      <c r="J79" t="str">
        <f>VLOOKUP(H79,'Dati di Supporto'!$G$2:$H$21,2,FALSE)</f>
        <v>CENTRO</v>
      </c>
      <c r="K79">
        <f t="shared" si="1"/>
        <v>70</v>
      </c>
      <c r="L79" t="str">
        <f>_xlfn.IFS(Vendite!F79&lt;'Dati di Supporto'!$O$3,'Dati di Supporto'!$P$2,Vendite!F79&lt;'Dati di Supporto'!$O$4,'Dati di Supporto'!$P$3,Vendite!F79&lt;'Dati di Supporto'!$O$5,'Dati di Supporto'!$P$4,Vendite!F79&lt;'Dati di Supporto'!$O$6,'Dati di Supporto'!$P$5,Vendite!F79&gt;'Dati di Supporto'!$O$6,'Dati di Supporto'!$P$6)</f>
        <v>Fascia 3 (da 800 €  a meno di 1200 €)</v>
      </c>
      <c r="M79" t="str">
        <f>_xlfn.IFS(G79='Dati di Supporto'!$O$10,'Dati di Supporto'!$P$10,Vendite!G79='Dati di Supporto'!$O$11,'Dati di Supporto'!$P$11,Vendite!G79='Dati di Supporto'!$O$12,'Dati di Supporto'!$P$12,Vendite!G79='Dati di Supporto'!$O$13,'Dati di Supporto'!$P$13,Vendite!G79='Dati di Supporto'!$O$14,'Dati di Supporto'!$P$14)</f>
        <v>Bollettino postale</v>
      </c>
    </row>
    <row r="80" spans="1:13" x14ac:dyDescent="0.3">
      <c r="A80" s="11">
        <v>79</v>
      </c>
      <c r="B80" s="6">
        <v>41812</v>
      </c>
      <c r="C80" s="1" t="s">
        <v>1</v>
      </c>
      <c r="D80" s="2" t="s">
        <v>118</v>
      </c>
      <c r="E80" s="2" t="s">
        <v>11</v>
      </c>
      <c r="F80" s="3">
        <v>920</v>
      </c>
      <c r="G80" s="15">
        <v>1</v>
      </c>
      <c r="H80" t="str">
        <f>VLOOKUP(D80,'Dati di Supporto'!$B$2:$C$104,2,FALSE)</f>
        <v>Lombardia</v>
      </c>
      <c r="I80" t="str">
        <f>VLOOKUP(D80,'Dati di Supporto'!$B$2:$D$104,3,FALSE)</f>
        <v>SO</v>
      </c>
      <c r="J80" t="str">
        <f>VLOOKUP(H80,'Dati di Supporto'!$G$2:$H$21,2,FALSE)</f>
        <v>NORD</v>
      </c>
      <c r="K80">
        <f t="shared" si="1"/>
        <v>96</v>
      </c>
      <c r="L80" t="str">
        <f>_xlfn.IFS(Vendite!F80&lt;'Dati di Supporto'!$O$3,'Dati di Supporto'!$P$2,Vendite!F80&lt;'Dati di Supporto'!$O$4,'Dati di Supporto'!$P$3,Vendite!F80&lt;'Dati di Supporto'!$O$5,'Dati di Supporto'!$P$4,Vendite!F80&lt;'Dati di Supporto'!$O$6,'Dati di Supporto'!$P$5,Vendite!F80&gt;'Dati di Supporto'!$O$6,'Dati di Supporto'!$P$6)</f>
        <v>Fascia 3 (da 800 €  a meno di 1200 €)</v>
      </c>
      <c r="M80" t="str">
        <f>_xlfn.IFS(G80='Dati di Supporto'!$O$10,'Dati di Supporto'!$P$10,Vendite!G80='Dati di Supporto'!$O$11,'Dati di Supporto'!$P$11,Vendite!G80='Dati di Supporto'!$O$12,'Dati di Supporto'!$P$12,Vendite!G80='Dati di Supporto'!$O$13,'Dati di Supporto'!$P$13,Vendite!G80='Dati di Supporto'!$O$14,'Dati di Supporto'!$P$14)</f>
        <v>Contanti</v>
      </c>
    </row>
    <row r="81" spans="1:13" x14ac:dyDescent="0.3">
      <c r="A81" s="11">
        <v>80</v>
      </c>
      <c r="B81" s="6">
        <v>41723</v>
      </c>
      <c r="C81" s="1" t="s">
        <v>8</v>
      </c>
      <c r="D81" s="2" t="s">
        <v>97</v>
      </c>
      <c r="E81" s="2" t="s">
        <v>251</v>
      </c>
      <c r="F81" s="3">
        <v>44</v>
      </c>
      <c r="G81" s="15">
        <v>1</v>
      </c>
      <c r="H81" t="str">
        <f>VLOOKUP(D81,'Dati di Supporto'!$B$2:$C$104,2,FALSE)</f>
        <v>Lombardia</v>
      </c>
      <c r="I81" t="str">
        <f>VLOOKUP(D81,'Dati di Supporto'!$B$2:$D$104,3,FALSE)</f>
        <v>PV</v>
      </c>
      <c r="J81" t="str">
        <f>VLOOKUP(H81,'Dati di Supporto'!$G$2:$H$21,2,FALSE)</f>
        <v>NORD</v>
      </c>
      <c r="K81">
        <f t="shared" si="1"/>
        <v>70</v>
      </c>
      <c r="L81" t="str">
        <f>_xlfn.IFS(Vendite!F81&lt;'Dati di Supporto'!$O$3,'Dati di Supporto'!$P$2,Vendite!F81&lt;'Dati di Supporto'!$O$4,'Dati di Supporto'!$P$3,Vendite!F81&lt;'Dati di Supporto'!$O$5,'Dati di Supporto'!$P$4,Vendite!F81&lt;'Dati di Supporto'!$O$6,'Dati di Supporto'!$P$5,Vendite!F81&gt;'Dati di Supporto'!$O$6,'Dati di Supporto'!$P$6)</f>
        <v>Fascia 1 (inferiore a 400 €)</v>
      </c>
      <c r="M81" t="str">
        <f>_xlfn.IFS(G81='Dati di Supporto'!$O$10,'Dati di Supporto'!$P$10,Vendite!G81='Dati di Supporto'!$O$11,'Dati di Supporto'!$P$11,Vendite!G81='Dati di Supporto'!$O$12,'Dati di Supporto'!$P$12,Vendite!G81='Dati di Supporto'!$O$13,'Dati di Supporto'!$P$13,Vendite!G81='Dati di Supporto'!$O$14,'Dati di Supporto'!$P$14)</f>
        <v>Contanti</v>
      </c>
    </row>
    <row r="82" spans="1:13" x14ac:dyDescent="0.3">
      <c r="A82" s="11">
        <v>81</v>
      </c>
      <c r="B82" s="6">
        <v>41780</v>
      </c>
      <c r="C82" s="1" t="s">
        <v>8</v>
      </c>
      <c r="D82" s="2" t="s">
        <v>101</v>
      </c>
      <c r="E82" s="2" t="s">
        <v>251</v>
      </c>
      <c r="F82" s="3">
        <v>1261</v>
      </c>
      <c r="G82" s="15">
        <v>1</v>
      </c>
      <c r="H82" t="str">
        <f>VLOOKUP(D82,'Dati di Supporto'!$B$2:$C$104,2,FALSE)</f>
        <v>Emilia-Romagna</v>
      </c>
      <c r="I82" t="str">
        <f>VLOOKUP(D82,'Dati di Supporto'!$B$2:$D$104,3,FALSE)</f>
        <v>PC</v>
      </c>
      <c r="J82" t="str">
        <f>VLOOKUP(H82,'Dati di Supporto'!$G$2:$H$21,2,FALSE)</f>
        <v>NORD</v>
      </c>
      <c r="K82">
        <f t="shared" si="1"/>
        <v>70</v>
      </c>
      <c r="L82" t="str">
        <f>_xlfn.IFS(Vendite!F82&lt;'Dati di Supporto'!$O$3,'Dati di Supporto'!$P$2,Vendite!F82&lt;'Dati di Supporto'!$O$4,'Dati di Supporto'!$P$3,Vendite!F82&lt;'Dati di Supporto'!$O$5,'Dati di Supporto'!$P$4,Vendite!F82&lt;'Dati di Supporto'!$O$6,'Dati di Supporto'!$P$5,Vendite!F82&gt;'Dati di Supporto'!$O$6,'Dati di Supporto'!$P$6)</f>
        <v>Fascia 4 (da 1200 €  a meno di 1500 €)</v>
      </c>
      <c r="M82" t="str">
        <f>_xlfn.IFS(G82='Dati di Supporto'!$O$10,'Dati di Supporto'!$P$10,Vendite!G82='Dati di Supporto'!$O$11,'Dati di Supporto'!$P$11,Vendite!G82='Dati di Supporto'!$O$12,'Dati di Supporto'!$P$12,Vendite!G82='Dati di Supporto'!$O$13,'Dati di Supporto'!$P$13,Vendite!G82='Dati di Supporto'!$O$14,'Dati di Supporto'!$P$14)</f>
        <v>Contanti</v>
      </c>
    </row>
    <row r="83" spans="1:13" x14ac:dyDescent="0.3">
      <c r="A83" s="11">
        <v>82</v>
      </c>
      <c r="B83" s="6">
        <v>41661</v>
      </c>
      <c r="C83" s="1" t="s">
        <v>247</v>
      </c>
      <c r="D83" s="2" t="s">
        <v>213</v>
      </c>
      <c r="E83" s="2" t="s">
        <v>11</v>
      </c>
      <c r="F83" s="3">
        <v>1283</v>
      </c>
      <c r="G83" s="15">
        <v>4</v>
      </c>
      <c r="H83" t="str">
        <f>VLOOKUP(D83,'Dati di Supporto'!$B$2:$C$104,2,FALSE)</f>
        <v>Emilia-Romagna</v>
      </c>
      <c r="I83" t="str">
        <f>VLOOKUP(D83,'Dati di Supporto'!$B$2:$D$104,3,FALSE)</f>
        <v>RE</v>
      </c>
      <c r="J83" t="str">
        <f>VLOOKUP(H83,'Dati di Supporto'!$G$2:$H$21,2,FALSE)</f>
        <v>NORD</v>
      </c>
      <c r="K83">
        <f t="shared" si="1"/>
        <v>83</v>
      </c>
      <c r="L83" t="str">
        <f>_xlfn.IFS(Vendite!F83&lt;'Dati di Supporto'!$O$3,'Dati di Supporto'!$P$2,Vendite!F83&lt;'Dati di Supporto'!$O$4,'Dati di Supporto'!$P$3,Vendite!F83&lt;'Dati di Supporto'!$O$5,'Dati di Supporto'!$P$4,Vendite!F83&lt;'Dati di Supporto'!$O$6,'Dati di Supporto'!$P$5,Vendite!F83&gt;'Dati di Supporto'!$O$6,'Dati di Supporto'!$P$6)</f>
        <v>Fascia 4 (da 1200 €  a meno di 1500 €)</v>
      </c>
      <c r="M83" t="str">
        <f>_xlfn.IFS(G83='Dati di Supporto'!$O$10,'Dati di Supporto'!$P$10,Vendite!G83='Dati di Supporto'!$O$11,'Dati di Supporto'!$P$11,Vendite!G83='Dati di Supporto'!$O$12,'Dati di Supporto'!$P$12,Vendite!G83='Dati di Supporto'!$O$13,'Dati di Supporto'!$P$13,Vendite!G83='Dati di Supporto'!$O$14,'Dati di Supporto'!$P$14)</f>
        <v>Bollettino postale</v>
      </c>
    </row>
    <row r="84" spans="1:13" x14ac:dyDescent="0.3">
      <c r="A84" s="11">
        <v>83</v>
      </c>
      <c r="B84" s="6">
        <v>41721</v>
      </c>
      <c r="C84" s="1" t="s">
        <v>248</v>
      </c>
      <c r="D84" s="2" t="s">
        <v>111</v>
      </c>
      <c r="E84" s="2" t="s">
        <v>10</v>
      </c>
      <c r="F84" s="3">
        <v>311</v>
      </c>
      <c r="G84" s="15">
        <v>2</v>
      </c>
      <c r="H84" t="str">
        <f>VLOOKUP(D84,'Dati di Supporto'!$B$2:$C$104,2,FALSE)</f>
        <v>Lazio</v>
      </c>
      <c r="I84" t="str">
        <f>VLOOKUP(D84,'Dati di Supporto'!$B$2:$D$104,3,FALSE)</f>
        <v>RM</v>
      </c>
      <c r="J84" t="str">
        <f>VLOOKUP(H84,'Dati di Supporto'!$G$2:$H$21,2,FALSE)</f>
        <v>CENTRO</v>
      </c>
      <c r="K84">
        <f t="shared" si="1"/>
        <v>80</v>
      </c>
      <c r="L84" t="str">
        <f>_xlfn.IFS(Vendite!F84&lt;'Dati di Supporto'!$O$3,'Dati di Supporto'!$P$2,Vendite!F84&lt;'Dati di Supporto'!$O$4,'Dati di Supporto'!$P$3,Vendite!F84&lt;'Dati di Supporto'!$O$5,'Dati di Supporto'!$P$4,Vendite!F84&lt;'Dati di Supporto'!$O$6,'Dati di Supporto'!$P$5,Vendite!F84&gt;'Dati di Supporto'!$O$6,'Dati di Supporto'!$P$6)</f>
        <v>Fascia 1 (inferiore a 400 €)</v>
      </c>
      <c r="M84" t="str">
        <f>_xlfn.IFS(G84='Dati di Supporto'!$O$10,'Dati di Supporto'!$P$10,Vendite!G84='Dati di Supporto'!$O$11,'Dati di Supporto'!$P$11,Vendite!G84='Dati di Supporto'!$O$12,'Dati di Supporto'!$P$12,Vendite!G84='Dati di Supporto'!$O$13,'Dati di Supporto'!$P$13,Vendite!G84='Dati di Supporto'!$O$14,'Dati di Supporto'!$P$14)</f>
        <v>Bonifico Bancario</v>
      </c>
    </row>
    <row r="85" spans="1:13" x14ac:dyDescent="0.3">
      <c r="A85" s="11">
        <v>84</v>
      </c>
      <c r="B85" s="6">
        <v>41771</v>
      </c>
      <c r="C85" s="1" t="s">
        <v>1</v>
      </c>
      <c r="D85" s="2" t="s">
        <v>117</v>
      </c>
      <c r="E85" s="2" t="s">
        <v>10</v>
      </c>
      <c r="F85" s="3">
        <v>1164</v>
      </c>
      <c r="G85" s="15">
        <v>5</v>
      </c>
      <c r="H85" t="str">
        <f>VLOOKUP(D85,'Dati di Supporto'!$B$2:$C$104,2,FALSE)</f>
        <v>Sicilia</v>
      </c>
      <c r="I85" t="str">
        <f>VLOOKUP(D85,'Dati di Supporto'!$B$2:$D$104,3,FALSE)</f>
        <v>SR</v>
      </c>
      <c r="J85" t="str">
        <f>VLOOKUP(H85,'Dati di Supporto'!$G$2:$H$21,2,FALSE)</f>
        <v>ISOLE</v>
      </c>
      <c r="K85">
        <f t="shared" si="1"/>
        <v>96</v>
      </c>
      <c r="L85" t="str">
        <f>_xlfn.IFS(Vendite!F85&lt;'Dati di Supporto'!$O$3,'Dati di Supporto'!$P$2,Vendite!F85&lt;'Dati di Supporto'!$O$4,'Dati di Supporto'!$P$3,Vendite!F85&lt;'Dati di Supporto'!$O$5,'Dati di Supporto'!$P$4,Vendite!F85&lt;'Dati di Supporto'!$O$6,'Dati di Supporto'!$P$5,Vendite!F85&gt;'Dati di Supporto'!$O$6,'Dati di Supporto'!$P$6)</f>
        <v>Fascia 3 (da 800 €  a meno di 1200 €)</v>
      </c>
      <c r="M85" t="str">
        <f>_xlfn.IFS(G85='Dati di Supporto'!$O$10,'Dati di Supporto'!$P$10,Vendite!G85='Dati di Supporto'!$O$11,'Dati di Supporto'!$P$11,Vendite!G85='Dati di Supporto'!$O$12,'Dati di Supporto'!$P$12,Vendite!G85='Dati di Supporto'!$O$13,'Dati di Supporto'!$P$13,Vendite!G85='Dati di Supporto'!$O$14,'Dati di Supporto'!$P$14)</f>
        <v>Assegno Bancario</v>
      </c>
    </row>
    <row r="86" spans="1:13" x14ac:dyDescent="0.3">
      <c r="A86" s="11">
        <v>85</v>
      </c>
      <c r="B86" s="6">
        <v>41743</v>
      </c>
      <c r="C86" s="1" t="s">
        <v>2</v>
      </c>
      <c r="D86" s="2" t="s">
        <v>211</v>
      </c>
      <c r="E86" s="2" t="s">
        <v>252</v>
      </c>
      <c r="F86" s="3">
        <v>1129</v>
      </c>
      <c r="G86" s="15">
        <v>3</v>
      </c>
      <c r="H86" t="str">
        <f>VLOOKUP(D86,'Dati di Supporto'!$B$2:$C$104,2,FALSE)</f>
        <v>Calabria</v>
      </c>
      <c r="I86" t="str">
        <f>VLOOKUP(D86,'Dati di Supporto'!$B$2:$D$104,3,FALSE)</f>
        <v>RC</v>
      </c>
      <c r="J86" t="str">
        <f>VLOOKUP(H86,'Dati di Supporto'!$G$2:$H$21,2,FALSE)</f>
        <v>SUD</v>
      </c>
      <c r="K86">
        <f t="shared" si="1"/>
        <v>84</v>
      </c>
      <c r="L86" t="str">
        <f>_xlfn.IFS(Vendite!F86&lt;'Dati di Supporto'!$O$3,'Dati di Supporto'!$P$2,Vendite!F86&lt;'Dati di Supporto'!$O$4,'Dati di Supporto'!$P$3,Vendite!F86&lt;'Dati di Supporto'!$O$5,'Dati di Supporto'!$P$4,Vendite!F86&lt;'Dati di Supporto'!$O$6,'Dati di Supporto'!$P$5,Vendite!F86&gt;'Dati di Supporto'!$O$6,'Dati di Supporto'!$P$6)</f>
        <v>Fascia 3 (da 800 €  a meno di 1200 €)</v>
      </c>
      <c r="M86" t="str">
        <f>_xlfn.IFS(G86='Dati di Supporto'!$O$10,'Dati di Supporto'!$P$10,Vendite!G86='Dati di Supporto'!$O$11,'Dati di Supporto'!$P$11,Vendite!G86='Dati di Supporto'!$O$12,'Dati di Supporto'!$P$12,Vendite!G86='Dati di Supporto'!$O$13,'Dati di Supporto'!$P$13,Vendite!G86='Dati di Supporto'!$O$14,'Dati di Supporto'!$P$14)</f>
        <v>Carta di credito</v>
      </c>
    </row>
    <row r="87" spans="1:13" x14ac:dyDescent="0.3">
      <c r="A87" s="11">
        <v>86</v>
      </c>
      <c r="B87" s="6">
        <v>41683</v>
      </c>
      <c r="C87" s="1" t="s">
        <v>8</v>
      </c>
      <c r="D87" s="2" t="s">
        <v>115</v>
      </c>
      <c r="E87" s="2" t="s">
        <v>252</v>
      </c>
      <c r="F87" s="3">
        <v>1965</v>
      </c>
      <c r="G87" s="15">
        <v>3</v>
      </c>
      <c r="H87" t="str">
        <f>VLOOKUP(D87,'Dati di Supporto'!$B$2:$C$104,2,FALSE)</f>
        <v>Liguria</v>
      </c>
      <c r="I87" t="str">
        <f>VLOOKUP(D87,'Dati di Supporto'!$B$2:$D$104,3,FALSE)</f>
        <v>SV</v>
      </c>
      <c r="J87" t="str">
        <f>VLOOKUP(H87,'Dati di Supporto'!$G$2:$H$21,2,FALSE)</f>
        <v>NORD</v>
      </c>
      <c r="K87">
        <f t="shared" si="1"/>
        <v>70</v>
      </c>
      <c r="L87" t="str">
        <f>_xlfn.IFS(Vendite!F87&lt;'Dati di Supporto'!$O$3,'Dati di Supporto'!$P$2,Vendite!F87&lt;'Dati di Supporto'!$O$4,'Dati di Supporto'!$P$3,Vendite!F87&lt;'Dati di Supporto'!$O$5,'Dati di Supporto'!$P$4,Vendite!F87&lt;'Dati di Supporto'!$O$6,'Dati di Supporto'!$P$5,Vendite!F87&gt;'Dati di Supporto'!$O$6,'Dati di Supporto'!$P$6)</f>
        <v>Fascia 5 (da 1500 € e oltre)</v>
      </c>
      <c r="M87" t="str">
        <f>_xlfn.IFS(G87='Dati di Supporto'!$O$10,'Dati di Supporto'!$P$10,Vendite!G87='Dati di Supporto'!$O$11,'Dati di Supporto'!$P$11,Vendite!G87='Dati di Supporto'!$O$12,'Dati di Supporto'!$P$12,Vendite!G87='Dati di Supporto'!$O$13,'Dati di Supporto'!$P$13,Vendite!G87='Dati di Supporto'!$O$14,'Dati di Supporto'!$P$14)</f>
        <v>Carta di credito</v>
      </c>
    </row>
    <row r="88" spans="1:13" x14ac:dyDescent="0.3">
      <c r="A88" s="11">
        <v>87</v>
      </c>
      <c r="B88" s="6">
        <v>41749</v>
      </c>
      <c r="C88" s="1" t="s">
        <v>248</v>
      </c>
      <c r="D88" s="2" t="s">
        <v>132</v>
      </c>
      <c r="E88" s="2" t="s">
        <v>10</v>
      </c>
      <c r="F88" s="3">
        <v>1812</v>
      </c>
      <c r="G88" s="15">
        <v>3</v>
      </c>
      <c r="H88" t="str">
        <f>VLOOKUP(D88,'Dati di Supporto'!$B$2:$C$104,2,FALSE)</f>
        <v>Veneto</v>
      </c>
      <c r="I88" t="str">
        <f>VLOOKUP(D88,'Dati di Supporto'!$B$2:$D$104,3,FALSE)</f>
        <v>VR</v>
      </c>
      <c r="J88" t="str">
        <f>VLOOKUP(H88,'Dati di Supporto'!$G$2:$H$21,2,FALSE)</f>
        <v>NORD</v>
      </c>
      <c r="K88">
        <f t="shared" si="1"/>
        <v>80</v>
      </c>
      <c r="L88" t="str">
        <f>_xlfn.IFS(Vendite!F88&lt;'Dati di Supporto'!$O$3,'Dati di Supporto'!$P$2,Vendite!F88&lt;'Dati di Supporto'!$O$4,'Dati di Supporto'!$P$3,Vendite!F88&lt;'Dati di Supporto'!$O$5,'Dati di Supporto'!$P$4,Vendite!F88&lt;'Dati di Supporto'!$O$6,'Dati di Supporto'!$P$5,Vendite!F88&gt;'Dati di Supporto'!$O$6,'Dati di Supporto'!$P$6)</f>
        <v>Fascia 5 (da 1500 € e oltre)</v>
      </c>
      <c r="M88" t="str">
        <f>_xlfn.IFS(G88='Dati di Supporto'!$O$10,'Dati di Supporto'!$P$10,Vendite!G88='Dati di Supporto'!$O$11,'Dati di Supporto'!$P$11,Vendite!G88='Dati di Supporto'!$O$12,'Dati di Supporto'!$P$12,Vendite!G88='Dati di Supporto'!$O$13,'Dati di Supporto'!$P$13,Vendite!G88='Dati di Supporto'!$O$14,'Dati di Supporto'!$P$14)</f>
        <v>Carta di credito</v>
      </c>
    </row>
    <row r="89" spans="1:13" x14ac:dyDescent="0.3">
      <c r="A89" s="11">
        <v>88</v>
      </c>
      <c r="B89" s="6">
        <v>41681</v>
      </c>
      <c r="C89" s="1" t="s">
        <v>1</v>
      </c>
      <c r="D89" s="2" t="s">
        <v>213</v>
      </c>
      <c r="E89" s="2" t="s">
        <v>11</v>
      </c>
      <c r="F89" s="3">
        <v>1884</v>
      </c>
      <c r="G89" s="15">
        <v>4</v>
      </c>
      <c r="H89" t="str">
        <f>VLOOKUP(D89,'Dati di Supporto'!$B$2:$C$104,2,FALSE)</f>
        <v>Emilia-Romagna</v>
      </c>
      <c r="I89" t="str">
        <f>VLOOKUP(D89,'Dati di Supporto'!$B$2:$D$104,3,FALSE)</f>
        <v>RE</v>
      </c>
      <c r="J89" t="str">
        <f>VLOOKUP(H89,'Dati di Supporto'!$G$2:$H$21,2,FALSE)</f>
        <v>NORD</v>
      </c>
      <c r="K89">
        <f t="shared" si="1"/>
        <v>96</v>
      </c>
      <c r="L89" t="str">
        <f>_xlfn.IFS(Vendite!F89&lt;'Dati di Supporto'!$O$3,'Dati di Supporto'!$P$2,Vendite!F89&lt;'Dati di Supporto'!$O$4,'Dati di Supporto'!$P$3,Vendite!F89&lt;'Dati di Supporto'!$O$5,'Dati di Supporto'!$P$4,Vendite!F89&lt;'Dati di Supporto'!$O$6,'Dati di Supporto'!$P$5,Vendite!F89&gt;'Dati di Supporto'!$O$6,'Dati di Supporto'!$P$6)</f>
        <v>Fascia 5 (da 1500 € e oltre)</v>
      </c>
      <c r="M89" t="str">
        <f>_xlfn.IFS(G89='Dati di Supporto'!$O$10,'Dati di Supporto'!$P$10,Vendite!G89='Dati di Supporto'!$O$11,'Dati di Supporto'!$P$11,Vendite!G89='Dati di Supporto'!$O$12,'Dati di Supporto'!$P$12,Vendite!G89='Dati di Supporto'!$O$13,'Dati di Supporto'!$P$13,Vendite!G89='Dati di Supporto'!$O$14,'Dati di Supporto'!$P$14)</f>
        <v>Bollettino postale</v>
      </c>
    </row>
    <row r="90" spans="1:13" x14ac:dyDescent="0.3">
      <c r="A90" s="11">
        <v>89</v>
      </c>
      <c r="B90" s="6">
        <v>41796</v>
      </c>
      <c r="C90" s="1" t="s">
        <v>248</v>
      </c>
      <c r="D90" s="2" t="s">
        <v>113</v>
      </c>
      <c r="E90" s="2" t="s">
        <v>251</v>
      </c>
      <c r="F90" s="3">
        <v>1812</v>
      </c>
      <c r="G90" s="15">
        <v>4</v>
      </c>
      <c r="H90" t="str">
        <f>VLOOKUP(D90,'Dati di Supporto'!$B$2:$C$104,2,FALSE)</f>
        <v>Campania</v>
      </c>
      <c r="I90" t="str">
        <f>VLOOKUP(D90,'Dati di Supporto'!$B$2:$D$104,3,FALSE)</f>
        <v>SA</v>
      </c>
      <c r="J90" t="str">
        <f>VLOOKUP(H90,'Dati di Supporto'!$G$2:$H$21,2,FALSE)</f>
        <v>SUD</v>
      </c>
      <c r="K90">
        <f t="shared" si="1"/>
        <v>80</v>
      </c>
      <c r="L90" t="str">
        <f>_xlfn.IFS(Vendite!F90&lt;'Dati di Supporto'!$O$3,'Dati di Supporto'!$P$2,Vendite!F90&lt;'Dati di Supporto'!$O$4,'Dati di Supporto'!$P$3,Vendite!F90&lt;'Dati di Supporto'!$O$5,'Dati di Supporto'!$P$4,Vendite!F90&lt;'Dati di Supporto'!$O$6,'Dati di Supporto'!$P$5,Vendite!F90&gt;'Dati di Supporto'!$O$6,'Dati di Supporto'!$P$6)</f>
        <v>Fascia 5 (da 1500 € e oltre)</v>
      </c>
      <c r="M90" t="str">
        <f>_xlfn.IFS(G90='Dati di Supporto'!$O$10,'Dati di Supporto'!$P$10,Vendite!G90='Dati di Supporto'!$O$11,'Dati di Supporto'!$P$11,Vendite!G90='Dati di Supporto'!$O$12,'Dati di Supporto'!$P$12,Vendite!G90='Dati di Supporto'!$O$13,'Dati di Supporto'!$P$13,Vendite!G90='Dati di Supporto'!$O$14,'Dati di Supporto'!$P$14)</f>
        <v>Bollettino postale</v>
      </c>
    </row>
    <row r="91" spans="1:13" x14ac:dyDescent="0.3">
      <c r="A91" s="11">
        <v>90</v>
      </c>
      <c r="B91" s="6">
        <v>41646</v>
      </c>
      <c r="C91" s="1" t="s">
        <v>248</v>
      </c>
      <c r="D91" s="2" t="s">
        <v>97</v>
      </c>
      <c r="E91" s="2" t="s">
        <v>251</v>
      </c>
      <c r="F91" s="3">
        <v>76</v>
      </c>
      <c r="G91" s="15">
        <v>3</v>
      </c>
      <c r="H91" t="str">
        <f>VLOOKUP(D91,'Dati di Supporto'!$B$2:$C$104,2,FALSE)</f>
        <v>Lombardia</v>
      </c>
      <c r="I91" t="str">
        <f>VLOOKUP(D91,'Dati di Supporto'!$B$2:$D$104,3,FALSE)</f>
        <v>PV</v>
      </c>
      <c r="J91" t="str">
        <f>VLOOKUP(H91,'Dati di Supporto'!$G$2:$H$21,2,FALSE)</f>
        <v>NORD</v>
      </c>
      <c r="K91">
        <f t="shared" si="1"/>
        <v>80</v>
      </c>
      <c r="L91" t="str">
        <f>_xlfn.IFS(Vendite!F91&lt;'Dati di Supporto'!$O$3,'Dati di Supporto'!$P$2,Vendite!F91&lt;'Dati di Supporto'!$O$4,'Dati di Supporto'!$P$3,Vendite!F91&lt;'Dati di Supporto'!$O$5,'Dati di Supporto'!$P$4,Vendite!F91&lt;'Dati di Supporto'!$O$6,'Dati di Supporto'!$P$5,Vendite!F91&gt;'Dati di Supporto'!$O$6,'Dati di Supporto'!$P$6)</f>
        <v>Fascia 1 (inferiore a 400 €)</v>
      </c>
      <c r="M91" t="str">
        <f>_xlfn.IFS(G91='Dati di Supporto'!$O$10,'Dati di Supporto'!$P$10,Vendite!G91='Dati di Supporto'!$O$11,'Dati di Supporto'!$P$11,Vendite!G91='Dati di Supporto'!$O$12,'Dati di Supporto'!$P$12,Vendite!G91='Dati di Supporto'!$O$13,'Dati di Supporto'!$P$13,Vendite!G91='Dati di Supporto'!$O$14,'Dati di Supporto'!$P$14)</f>
        <v>Carta di credito</v>
      </c>
    </row>
    <row r="92" spans="1:13" x14ac:dyDescent="0.3">
      <c r="A92" s="11">
        <v>91</v>
      </c>
      <c r="B92" s="6">
        <v>41818</v>
      </c>
      <c r="C92" s="1" t="s">
        <v>2</v>
      </c>
      <c r="D92" s="2" t="s">
        <v>109</v>
      </c>
      <c r="E92" s="2" t="s">
        <v>251</v>
      </c>
      <c r="F92" s="3">
        <v>1827</v>
      </c>
      <c r="G92" s="15">
        <v>3</v>
      </c>
      <c r="H92" t="str">
        <f>VLOOKUP(D92,'Dati di Supporto'!$B$2:$C$104,2,FALSE)</f>
        <v>Lazio</v>
      </c>
      <c r="I92" t="str">
        <f>VLOOKUP(D92,'Dati di Supporto'!$B$2:$D$104,3,FALSE)</f>
        <v>RI</v>
      </c>
      <c r="J92" t="str">
        <f>VLOOKUP(H92,'Dati di Supporto'!$G$2:$H$21,2,FALSE)</f>
        <v>CENTRO</v>
      </c>
      <c r="K92">
        <f t="shared" si="1"/>
        <v>84</v>
      </c>
      <c r="L92" t="str">
        <f>_xlfn.IFS(Vendite!F92&lt;'Dati di Supporto'!$O$3,'Dati di Supporto'!$P$2,Vendite!F92&lt;'Dati di Supporto'!$O$4,'Dati di Supporto'!$P$3,Vendite!F92&lt;'Dati di Supporto'!$O$5,'Dati di Supporto'!$P$4,Vendite!F92&lt;'Dati di Supporto'!$O$6,'Dati di Supporto'!$P$5,Vendite!F92&gt;'Dati di Supporto'!$O$6,'Dati di Supporto'!$P$6)</f>
        <v>Fascia 5 (da 1500 € e oltre)</v>
      </c>
      <c r="M92" t="str">
        <f>_xlfn.IFS(G92='Dati di Supporto'!$O$10,'Dati di Supporto'!$P$10,Vendite!G92='Dati di Supporto'!$O$11,'Dati di Supporto'!$P$11,Vendite!G92='Dati di Supporto'!$O$12,'Dati di Supporto'!$P$12,Vendite!G92='Dati di Supporto'!$O$13,'Dati di Supporto'!$P$13,Vendite!G92='Dati di Supporto'!$O$14,'Dati di Supporto'!$P$14)</f>
        <v>Carta di credito</v>
      </c>
    </row>
    <row r="93" spans="1:13" x14ac:dyDescent="0.3">
      <c r="A93" s="11">
        <v>92</v>
      </c>
      <c r="B93" s="6">
        <v>41715</v>
      </c>
      <c r="C93" s="1" t="s">
        <v>1</v>
      </c>
      <c r="D93" s="2" t="s">
        <v>125</v>
      </c>
      <c r="E93" s="2" t="s">
        <v>252</v>
      </c>
      <c r="F93" s="3">
        <v>491</v>
      </c>
      <c r="G93" s="15">
        <v>4</v>
      </c>
      <c r="H93" t="str">
        <f>VLOOKUP(D93,'Dati di Supporto'!$B$2:$C$104,2,FALSE)</f>
        <v>Veneto</v>
      </c>
      <c r="I93" t="str">
        <f>VLOOKUP(D93,'Dati di Supporto'!$B$2:$D$104,3,FALSE)</f>
        <v>TV</v>
      </c>
      <c r="J93" t="str">
        <f>VLOOKUP(H93,'Dati di Supporto'!$G$2:$H$21,2,FALSE)</f>
        <v>NORD</v>
      </c>
      <c r="K93">
        <f t="shared" si="1"/>
        <v>96</v>
      </c>
      <c r="L93" t="str">
        <f>_xlfn.IFS(Vendite!F93&lt;'Dati di Supporto'!$O$3,'Dati di Supporto'!$P$2,Vendite!F93&lt;'Dati di Supporto'!$O$4,'Dati di Supporto'!$P$3,Vendite!F93&lt;'Dati di Supporto'!$O$5,'Dati di Supporto'!$P$4,Vendite!F93&lt;'Dati di Supporto'!$O$6,'Dati di Supporto'!$P$5,Vendite!F93&gt;'Dati di Supporto'!$O$6,'Dati di Supporto'!$P$6)</f>
        <v>Fascia 2 (da 400 €  a meno di 800 €)</v>
      </c>
      <c r="M93" t="str">
        <f>_xlfn.IFS(G93='Dati di Supporto'!$O$10,'Dati di Supporto'!$P$10,Vendite!G93='Dati di Supporto'!$O$11,'Dati di Supporto'!$P$11,Vendite!G93='Dati di Supporto'!$O$12,'Dati di Supporto'!$P$12,Vendite!G93='Dati di Supporto'!$O$13,'Dati di Supporto'!$P$13,Vendite!G93='Dati di Supporto'!$O$14,'Dati di Supporto'!$P$14)</f>
        <v>Bollettino postale</v>
      </c>
    </row>
    <row r="94" spans="1:13" x14ac:dyDescent="0.3">
      <c r="A94" s="11">
        <v>93</v>
      </c>
      <c r="B94" s="6">
        <v>41651</v>
      </c>
      <c r="C94" s="1" t="s">
        <v>8</v>
      </c>
      <c r="D94" s="2" t="s">
        <v>135</v>
      </c>
      <c r="E94" s="2" t="s">
        <v>251</v>
      </c>
      <c r="F94" s="3">
        <v>1965</v>
      </c>
      <c r="G94" s="15">
        <v>4</v>
      </c>
      <c r="H94" t="str">
        <f>VLOOKUP(D94,'Dati di Supporto'!$B$2:$C$104,2,FALSE)</f>
        <v>Lazio</v>
      </c>
      <c r="I94" t="str">
        <f>VLOOKUP(D94,'Dati di Supporto'!$B$2:$D$104,3,FALSE)</f>
        <v>VT</v>
      </c>
      <c r="J94" t="str">
        <f>VLOOKUP(H94,'Dati di Supporto'!$G$2:$H$21,2,FALSE)</f>
        <v>CENTRO</v>
      </c>
      <c r="K94">
        <f t="shared" si="1"/>
        <v>70</v>
      </c>
      <c r="L94" t="str">
        <f>_xlfn.IFS(Vendite!F94&lt;'Dati di Supporto'!$O$3,'Dati di Supporto'!$P$2,Vendite!F94&lt;'Dati di Supporto'!$O$4,'Dati di Supporto'!$P$3,Vendite!F94&lt;'Dati di Supporto'!$O$5,'Dati di Supporto'!$P$4,Vendite!F94&lt;'Dati di Supporto'!$O$6,'Dati di Supporto'!$P$5,Vendite!F94&gt;'Dati di Supporto'!$O$6,'Dati di Supporto'!$P$6)</f>
        <v>Fascia 5 (da 1500 € e oltre)</v>
      </c>
      <c r="M94" t="str">
        <f>_xlfn.IFS(G94='Dati di Supporto'!$O$10,'Dati di Supporto'!$P$10,Vendite!G94='Dati di Supporto'!$O$11,'Dati di Supporto'!$P$11,Vendite!G94='Dati di Supporto'!$O$12,'Dati di Supporto'!$P$12,Vendite!G94='Dati di Supporto'!$O$13,'Dati di Supporto'!$P$13,Vendite!G94='Dati di Supporto'!$O$14,'Dati di Supporto'!$P$14)</f>
        <v>Bollettino postale</v>
      </c>
    </row>
    <row r="95" spans="1:13" x14ac:dyDescent="0.3">
      <c r="A95" s="11">
        <v>94</v>
      </c>
      <c r="B95" s="6">
        <v>41674</v>
      </c>
      <c r="C95" s="1" t="s">
        <v>247</v>
      </c>
      <c r="D95" s="2" t="s">
        <v>133</v>
      </c>
      <c r="E95" s="2" t="s">
        <v>251</v>
      </c>
      <c r="F95" s="3">
        <v>862</v>
      </c>
      <c r="G95" s="15">
        <v>5</v>
      </c>
      <c r="H95" t="str">
        <f>VLOOKUP(D95,'Dati di Supporto'!$B$2:$C$104,2,FALSE)</f>
        <v>Calabria</v>
      </c>
      <c r="I95" t="str">
        <f>VLOOKUP(D95,'Dati di Supporto'!$B$2:$D$104,3,FALSE)</f>
        <v>VV</v>
      </c>
      <c r="J95" t="str">
        <f>VLOOKUP(H95,'Dati di Supporto'!$G$2:$H$21,2,FALSE)</f>
        <v>SUD</v>
      </c>
      <c r="K95">
        <f t="shared" si="1"/>
        <v>83</v>
      </c>
      <c r="L95" t="str">
        <f>_xlfn.IFS(Vendite!F95&lt;'Dati di Supporto'!$O$3,'Dati di Supporto'!$P$2,Vendite!F95&lt;'Dati di Supporto'!$O$4,'Dati di Supporto'!$P$3,Vendite!F95&lt;'Dati di Supporto'!$O$5,'Dati di Supporto'!$P$4,Vendite!F95&lt;'Dati di Supporto'!$O$6,'Dati di Supporto'!$P$5,Vendite!F95&gt;'Dati di Supporto'!$O$6,'Dati di Supporto'!$P$6)</f>
        <v>Fascia 3 (da 800 €  a meno di 1200 €)</v>
      </c>
      <c r="M95" t="str">
        <f>_xlfn.IFS(G95='Dati di Supporto'!$O$10,'Dati di Supporto'!$P$10,Vendite!G95='Dati di Supporto'!$O$11,'Dati di Supporto'!$P$11,Vendite!G95='Dati di Supporto'!$O$12,'Dati di Supporto'!$P$12,Vendite!G95='Dati di Supporto'!$O$13,'Dati di Supporto'!$P$13,Vendite!G95='Dati di Supporto'!$O$14,'Dati di Supporto'!$P$14)</f>
        <v>Assegno Bancario</v>
      </c>
    </row>
    <row r="96" spans="1:13" x14ac:dyDescent="0.3">
      <c r="A96" s="11">
        <v>95</v>
      </c>
      <c r="B96" s="6">
        <v>41713</v>
      </c>
      <c r="C96" s="1" t="s">
        <v>3</v>
      </c>
      <c r="D96" s="2" t="s">
        <v>132</v>
      </c>
      <c r="E96" s="2" t="s">
        <v>250</v>
      </c>
      <c r="F96" s="3">
        <v>403</v>
      </c>
      <c r="G96" s="15">
        <v>3</v>
      </c>
      <c r="H96" t="str">
        <f>VLOOKUP(D96,'Dati di Supporto'!$B$2:$C$104,2,FALSE)</f>
        <v>Veneto</v>
      </c>
      <c r="I96" t="str">
        <f>VLOOKUP(D96,'Dati di Supporto'!$B$2:$D$104,3,FALSE)</f>
        <v>VR</v>
      </c>
      <c r="J96" t="str">
        <f>VLOOKUP(H96,'Dati di Supporto'!$G$2:$H$21,2,FALSE)</f>
        <v>NORD</v>
      </c>
      <c r="K96">
        <f t="shared" si="1"/>
        <v>87</v>
      </c>
      <c r="L96" t="str">
        <f>_xlfn.IFS(Vendite!F96&lt;'Dati di Supporto'!$O$3,'Dati di Supporto'!$P$2,Vendite!F96&lt;'Dati di Supporto'!$O$4,'Dati di Supporto'!$P$3,Vendite!F96&lt;'Dati di Supporto'!$O$5,'Dati di Supporto'!$P$4,Vendite!F96&lt;'Dati di Supporto'!$O$6,'Dati di Supporto'!$P$5,Vendite!F96&gt;'Dati di Supporto'!$O$6,'Dati di Supporto'!$P$6)</f>
        <v>Fascia 2 (da 400 €  a meno di 800 €)</v>
      </c>
      <c r="M96" t="str">
        <f>_xlfn.IFS(G96='Dati di Supporto'!$O$10,'Dati di Supporto'!$P$10,Vendite!G96='Dati di Supporto'!$O$11,'Dati di Supporto'!$P$11,Vendite!G96='Dati di Supporto'!$O$12,'Dati di Supporto'!$P$12,Vendite!G96='Dati di Supporto'!$O$13,'Dati di Supporto'!$P$13,Vendite!G96='Dati di Supporto'!$O$14,'Dati di Supporto'!$P$14)</f>
        <v>Carta di credito</v>
      </c>
    </row>
    <row r="97" spans="1:13" x14ac:dyDescent="0.3">
      <c r="A97" s="11">
        <v>96</v>
      </c>
      <c r="B97" s="6">
        <v>41649</v>
      </c>
      <c r="C97" s="1" t="s">
        <v>1</v>
      </c>
      <c r="D97" s="2" t="s">
        <v>101</v>
      </c>
      <c r="E97" s="2" t="s">
        <v>252</v>
      </c>
      <c r="F97" s="3">
        <v>217</v>
      </c>
      <c r="G97" s="15">
        <v>1</v>
      </c>
      <c r="H97" t="str">
        <f>VLOOKUP(D97,'Dati di Supporto'!$B$2:$C$104,2,FALSE)</f>
        <v>Emilia-Romagna</v>
      </c>
      <c r="I97" t="str">
        <f>VLOOKUP(D97,'Dati di Supporto'!$B$2:$D$104,3,FALSE)</f>
        <v>PC</v>
      </c>
      <c r="J97" t="str">
        <f>VLOOKUP(H97,'Dati di Supporto'!$G$2:$H$21,2,FALSE)</f>
        <v>NORD</v>
      </c>
      <c r="K97">
        <f t="shared" si="1"/>
        <v>96</v>
      </c>
      <c r="L97" t="str">
        <f>_xlfn.IFS(Vendite!F97&lt;'Dati di Supporto'!$O$3,'Dati di Supporto'!$P$2,Vendite!F97&lt;'Dati di Supporto'!$O$4,'Dati di Supporto'!$P$3,Vendite!F97&lt;'Dati di Supporto'!$O$5,'Dati di Supporto'!$P$4,Vendite!F97&lt;'Dati di Supporto'!$O$6,'Dati di Supporto'!$P$5,Vendite!F97&gt;'Dati di Supporto'!$O$6,'Dati di Supporto'!$P$6)</f>
        <v>Fascia 1 (inferiore a 400 €)</v>
      </c>
      <c r="M97" t="str">
        <f>_xlfn.IFS(G97='Dati di Supporto'!$O$10,'Dati di Supporto'!$P$10,Vendite!G97='Dati di Supporto'!$O$11,'Dati di Supporto'!$P$11,Vendite!G97='Dati di Supporto'!$O$12,'Dati di Supporto'!$P$12,Vendite!G97='Dati di Supporto'!$O$13,'Dati di Supporto'!$P$13,Vendite!G97='Dati di Supporto'!$O$14,'Dati di Supporto'!$P$14)</f>
        <v>Contanti</v>
      </c>
    </row>
    <row r="98" spans="1:13" x14ac:dyDescent="0.3">
      <c r="A98" s="11">
        <v>97</v>
      </c>
      <c r="B98" s="6">
        <v>41743</v>
      </c>
      <c r="C98" s="1" t="s">
        <v>2</v>
      </c>
      <c r="D98" s="2" t="s">
        <v>211</v>
      </c>
      <c r="E98" s="2" t="s">
        <v>11</v>
      </c>
      <c r="F98" s="3">
        <v>1450</v>
      </c>
      <c r="G98" s="15">
        <v>4</v>
      </c>
      <c r="H98" t="str">
        <f>VLOOKUP(D98,'Dati di Supporto'!$B$2:$C$104,2,FALSE)</f>
        <v>Calabria</v>
      </c>
      <c r="I98" t="str">
        <f>VLOOKUP(D98,'Dati di Supporto'!$B$2:$D$104,3,FALSE)</f>
        <v>RC</v>
      </c>
      <c r="J98" t="str">
        <f>VLOOKUP(H98,'Dati di Supporto'!$G$2:$H$21,2,FALSE)</f>
        <v>SUD</v>
      </c>
      <c r="K98">
        <f t="shared" si="1"/>
        <v>84</v>
      </c>
      <c r="L98" t="str">
        <f>_xlfn.IFS(Vendite!F98&lt;'Dati di Supporto'!$O$3,'Dati di Supporto'!$P$2,Vendite!F98&lt;'Dati di Supporto'!$O$4,'Dati di Supporto'!$P$3,Vendite!F98&lt;'Dati di Supporto'!$O$5,'Dati di Supporto'!$P$4,Vendite!F98&lt;'Dati di Supporto'!$O$6,'Dati di Supporto'!$P$5,Vendite!F98&gt;'Dati di Supporto'!$O$6,'Dati di Supporto'!$P$6)</f>
        <v>Fascia 4 (da 1200 €  a meno di 1500 €)</v>
      </c>
      <c r="M98" t="str">
        <f>_xlfn.IFS(G98='Dati di Supporto'!$O$10,'Dati di Supporto'!$P$10,Vendite!G98='Dati di Supporto'!$O$11,'Dati di Supporto'!$P$11,Vendite!G98='Dati di Supporto'!$O$12,'Dati di Supporto'!$P$12,Vendite!G98='Dati di Supporto'!$O$13,'Dati di Supporto'!$P$13,Vendite!G98='Dati di Supporto'!$O$14,'Dati di Supporto'!$P$14)</f>
        <v>Bollettino postale</v>
      </c>
    </row>
    <row r="99" spans="1:13" x14ac:dyDescent="0.3">
      <c r="A99" s="11">
        <v>98</v>
      </c>
      <c r="B99" s="6">
        <v>41650</v>
      </c>
      <c r="C99" s="1" t="s">
        <v>8</v>
      </c>
      <c r="D99" s="2" t="s">
        <v>100</v>
      </c>
      <c r="E99" s="2" t="s">
        <v>10</v>
      </c>
      <c r="F99" s="3">
        <v>549</v>
      </c>
      <c r="G99" s="15">
        <v>3</v>
      </c>
      <c r="H99" t="str">
        <f>VLOOKUP(D99,'Dati di Supporto'!$B$2:$C$104,2,FALSE)</f>
        <v>Abruzzo</v>
      </c>
      <c r="I99" t="str">
        <f>VLOOKUP(D99,'Dati di Supporto'!$B$2:$D$104,3,FALSE)</f>
        <v>PE</v>
      </c>
      <c r="J99" t="str">
        <f>VLOOKUP(H99,'Dati di Supporto'!$G$2:$H$21,2,FALSE)</f>
        <v>CENTRO</v>
      </c>
      <c r="K99">
        <f t="shared" si="1"/>
        <v>70</v>
      </c>
      <c r="L99" t="str">
        <f>_xlfn.IFS(Vendite!F99&lt;'Dati di Supporto'!$O$3,'Dati di Supporto'!$P$2,Vendite!F99&lt;'Dati di Supporto'!$O$4,'Dati di Supporto'!$P$3,Vendite!F99&lt;'Dati di Supporto'!$O$5,'Dati di Supporto'!$P$4,Vendite!F99&lt;'Dati di Supporto'!$O$6,'Dati di Supporto'!$P$5,Vendite!F99&gt;'Dati di Supporto'!$O$6,'Dati di Supporto'!$P$6)</f>
        <v>Fascia 2 (da 400 €  a meno di 800 €)</v>
      </c>
      <c r="M99" t="str">
        <f>_xlfn.IFS(G99='Dati di Supporto'!$O$10,'Dati di Supporto'!$P$10,Vendite!G99='Dati di Supporto'!$O$11,'Dati di Supporto'!$P$11,Vendite!G99='Dati di Supporto'!$O$12,'Dati di Supporto'!$P$12,Vendite!G99='Dati di Supporto'!$O$13,'Dati di Supporto'!$P$13,Vendite!G99='Dati di Supporto'!$O$14,'Dati di Supporto'!$P$14)</f>
        <v>Carta di credito</v>
      </c>
    </row>
    <row r="100" spans="1:13" x14ac:dyDescent="0.3">
      <c r="A100" s="11">
        <v>99</v>
      </c>
      <c r="B100" s="6">
        <v>41724</v>
      </c>
      <c r="C100" s="1" t="s">
        <v>3</v>
      </c>
      <c r="D100" s="2" t="s">
        <v>102</v>
      </c>
      <c r="E100" s="2" t="s">
        <v>11</v>
      </c>
      <c r="F100" s="3">
        <v>1829</v>
      </c>
      <c r="G100" s="15">
        <v>5</v>
      </c>
      <c r="H100" t="str">
        <f>VLOOKUP(D100,'Dati di Supporto'!$B$2:$C$104,2,FALSE)</f>
        <v>Toscana</v>
      </c>
      <c r="I100" t="str">
        <f>VLOOKUP(D100,'Dati di Supporto'!$B$2:$D$104,3,FALSE)</f>
        <v>PI</v>
      </c>
      <c r="J100" t="str">
        <f>VLOOKUP(H100,'Dati di Supporto'!$G$2:$H$21,2,FALSE)</f>
        <v>CENTRO</v>
      </c>
      <c r="K100">
        <f t="shared" si="1"/>
        <v>87</v>
      </c>
      <c r="L100" t="str">
        <f>_xlfn.IFS(Vendite!F100&lt;'Dati di Supporto'!$O$3,'Dati di Supporto'!$P$2,Vendite!F100&lt;'Dati di Supporto'!$O$4,'Dati di Supporto'!$P$3,Vendite!F100&lt;'Dati di Supporto'!$O$5,'Dati di Supporto'!$P$4,Vendite!F100&lt;'Dati di Supporto'!$O$6,'Dati di Supporto'!$P$5,Vendite!F100&gt;'Dati di Supporto'!$O$6,'Dati di Supporto'!$P$6)</f>
        <v>Fascia 5 (da 1500 € e oltre)</v>
      </c>
      <c r="M100" t="str">
        <f>_xlfn.IFS(G100='Dati di Supporto'!$O$10,'Dati di Supporto'!$P$10,Vendite!G100='Dati di Supporto'!$O$11,'Dati di Supporto'!$P$11,Vendite!G100='Dati di Supporto'!$O$12,'Dati di Supporto'!$P$12,Vendite!G100='Dati di Supporto'!$O$13,'Dati di Supporto'!$P$13,Vendite!G100='Dati di Supporto'!$O$14,'Dati di Supporto'!$P$14)</f>
        <v>Assegno Bancario</v>
      </c>
    </row>
    <row r="101" spans="1:13" x14ac:dyDescent="0.3">
      <c r="A101" s="11">
        <v>100</v>
      </c>
      <c r="B101" s="6">
        <v>41778</v>
      </c>
      <c r="C101" s="1" t="s">
        <v>248</v>
      </c>
      <c r="D101" s="2" t="s">
        <v>103</v>
      </c>
      <c r="E101" s="2" t="s">
        <v>10</v>
      </c>
      <c r="F101" s="3">
        <v>411</v>
      </c>
      <c r="G101" s="15">
        <v>1</v>
      </c>
      <c r="H101" t="str">
        <f>VLOOKUP(D101,'Dati di Supporto'!$B$2:$C$104,2,FALSE)</f>
        <v>Toscana</v>
      </c>
      <c r="I101" t="str">
        <f>VLOOKUP(D101,'Dati di Supporto'!$B$2:$D$104,3,FALSE)</f>
        <v>PT</v>
      </c>
      <c r="J101" t="str">
        <f>VLOOKUP(H101,'Dati di Supporto'!$G$2:$H$21,2,FALSE)</f>
        <v>CENTRO</v>
      </c>
      <c r="K101">
        <f t="shared" si="1"/>
        <v>80</v>
      </c>
      <c r="L101" t="str">
        <f>_xlfn.IFS(Vendite!F101&lt;'Dati di Supporto'!$O$3,'Dati di Supporto'!$P$2,Vendite!F101&lt;'Dati di Supporto'!$O$4,'Dati di Supporto'!$P$3,Vendite!F101&lt;'Dati di Supporto'!$O$5,'Dati di Supporto'!$P$4,Vendite!F101&lt;'Dati di Supporto'!$O$6,'Dati di Supporto'!$P$5,Vendite!F101&gt;'Dati di Supporto'!$O$6,'Dati di Supporto'!$P$6)</f>
        <v>Fascia 2 (da 400 €  a meno di 800 €)</v>
      </c>
      <c r="M101" t="str">
        <f>_xlfn.IFS(G101='Dati di Supporto'!$O$10,'Dati di Supporto'!$P$10,Vendite!G101='Dati di Supporto'!$O$11,'Dati di Supporto'!$P$11,Vendite!G101='Dati di Supporto'!$O$12,'Dati di Supporto'!$P$12,Vendite!G101='Dati di Supporto'!$O$13,'Dati di Supporto'!$P$13,Vendite!G101='Dati di Supporto'!$O$14,'Dati di Supporto'!$P$14)</f>
        <v>Contanti</v>
      </c>
    </row>
    <row r="102" spans="1:13" x14ac:dyDescent="0.3">
      <c r="A102" s="11">
        <v>101</v>
      </c>
      <c r="B102" s="6">
        <v>41696</v>
      </c>
      <c r="C102" s="1" t="s">
        <v>247</v>
      </c>
      <c r="D102" s="2" t="s">
        <v>121</v>
      </c>
      <c r="E102" s="2" t="s">
        <v>250</v>
      </c>
      <c r="F102" s="3">
        <v>146</v>
      </c>
      <c r="G102" s="15">
        <v>1</v>
      </c>
      <c r="H102" t="str">
        <f>VLOOKUP(D102,'Dati di Supporto'!$B$2:$C$104,2,FALSE)</f>
        <v>Umbria</v>
      </c>
      <c r="I102" t="str">
        <f>VLOOKUP(D102,'Dati di Supporto'!$B$2:$D$104,3,FALSE)</f>
        <v>TR</v>
      </c>
      <c r="J102" t="str">
        <f>VLOOKUP(H102,'Dati di Supporto'!$G$2:$H$21,2,FALSE)</f>
        <v>CENTRO</v>
      </c>
      <c r="K102">
        <f t="shared" si="1"/>
        <v>83</v>
      </c>
      <c r="L102" t="str">
        <f>_xlfn.IFS(Vendite!F102&lt;'Dati di Supporto'!$O$3,'Dati di Supporto'!$P$2,Vendite!F102&lt;'Dati di Supporto'!$O$4,'Dati di Supporto'!$P$3,Vendite!F102&lt;'Dati di Supporto'!$O$5,'Dati di Supporto'!$P$4,Vendite!F102&lt;'Dati di Supporto'!$O$6,'Dati di Supporto'!$P$5,Vendite!F102&gt;'Dati di Supporto'!$O$6,'Dati di Supporto'!$P$6)</f>
        <v>Fascia 1 (inferiore a 400 €)</v>
      </c>
      <c r="M102" t="str">
        <f>_xlfn.IFS(G102='Dati di Supporto'!$O$10,'Dati di Supporto'!$P$10,Vendite!G102='Dati di Supporto'!$O$11,'Dati di Supporto'!$P$11,Vendite!G102='Dati di Supporto'!$O$12,'Dati di Supporto'!$P$12,Vendite!G102='Dati di Supporto'!$O$13,'Dati di Supporto'!$P$13,Vendite!G102='Dati di Supporto'!$O$14,'Dati di Supporto'!$P$14)</f>
        <v>Contanti</v>
      </c>
    </row>
    <row r="103" spans="1:13" x14ac:dyDescent="0.3">
      <c r="A103" s="11">
        <v>102</v>
      </c>
      <c r="B103" s="6">
        <v>41641</v>
      </c>
      <c r="C103" s="1" t="s">
        <v>2</v>
      </c>
      <c r="D103" s="2" t="s">
        <v>113</v>
      </c>
      <c r="E103" s="2" t="s">
        <v>252</v>
      </c>
      <c r="F103" s="3">
        <v>1890</v>
      </c>
      <c r="G103" s="15">
        <v>2</v>
      </c>
      <c r="H103" t="str">
        <f>VLOOKUP(D103,'Dati di Supporto'!$B$2:$C$104,2,FALSE)</f>
        <v>Campania</v>
      </c>
      <c r="I103" t="str">
        <f>VLOOKUP(D103,'Dati di Supporto'!$B$2:$D$104,3,FALSE)</f>
        <v>SA</v>
      </c>
      <c r="J103" t="str">
        <f>VLOOKUP(H103,'Dati di Supporto'!$G$2:$H$21,2,FALSE)</f>
        <v>SUD</v>
      </c>
      <c r="K103">
        <f t="shared" si="1"/>
        <v>84</v>
      </c>
      <c r="L103" t="str">
        <f>_xlfn.IFS(Vendite!F103&lt;'Dati di Supporto'!$O$3,'Dati di Supporto'!$P$2,Vendite!F103&lt;'Dati di Supporto'!$O$4,'Dati di Supporto'!$P$3,Vendite!F103&lt;'Dati di Supporto'!$O$5,'Dati di Supporto'!$P$4,Vendite!F103&lt;'Dati di Supporto'!$O$6,'Dati di Supporto'!$P$5,Vendite!F103&gt;'Dati di Supporto'!$O$6,'Dati di Supporto'!$P$6)</f>
        <v>Fascia 5 (da 1500 € e oltre)</v>
      </c>
      <c r="M103" t="str">
        <f>_xlfn.IFS(G103='Dati di Supporto'!$O$10,'Dati di Supporto'!$P$10,Vendite!G103='Dati di Supporto'!$O$11,'Dati di Supporto'!$P$11,Vendite!G103='Dati di Supporto'!$O$12,'Dati di Supporto'!$P$12,Vendite!G103='Dati di Supporto'!$O$13,'Dati di Supporto'!$P$13,Vendite!G103='Dati di Supporto'!$O$14,'Dati di Supporto'!$P$14)</f>
        <v>Bonifico Bancario</v>
      </c>
    </row>
    <row r="104" spans="1:13" x14ac:dyDescent="0.3">
      <c r="A104" s="11">
        <v>103</v>
      </c>
      <c r="B104" s="6">
        <v>41686</v>
      </c>
      <c r="C104" s="1" t="s">
        <v>1</v>
      </c>
      <c r="D104" s="2" t="s">
        <v>108</v>
      </c>
      <c r="E104" s="2" t="s">
        <v>252</v>
      </c>
      <c r="F104" s="3">
        <v>826</v>
      </c>
      <c r="G104" s="15">
        <v>5</v>
      </c>
      <c r="H104" t="str">
        <f>VLOOKUP(D104,'Dati di Supporto'!$B$2:$C$104,2,FALSE)</f>
        <v>Emilia-Romagna</v>
      </c>
      <c r="I104" t="str">
        <f>VLOOKUP(D104,'Dati di Supporto'!$B$2:$D$104,3,FALSE)</f>
        <v>RA</v>
      </c>
      <c r="J104" t="str">
        <f>VLOOKUP(H104,'Dati di Supporto'!$G$2:$H$21,2,FALSE)</f>
        <v>NORD</v>
      </c>
      <c r="K104">
        <f t="shared" si="1"/>
        <v>96</v>
      </c>
      <c r="L104" t="str">
        <f>_xlfn.IFS(Vendite!F104&lt;'Dati di Supporto'!$O$3,'Dati di Supporto'!$P$2,Vendite!F104&lt;'Dati di Supporto'!$O$4,'Dati di Supporto'!$P$3,Vendite!F104&lt;'Dati di Supporto'!$O$5,'Dati di Supporto'!$P$4,Vendite!F104&lt;'Dati di Supporto'!$O$6,'Dati di Supporto'!$P$5,Vendite!F104&gt;'Dati di Supporto'!$O$6,'Dati di Supporto'!$P$6)</f>
        <v>Fascia 3 (da 800 €  a meno di 1200 €)</v>
      </c>
      <c r="M104" t="str">
        <f>_xlfn.IFS(G104='Dati di Supporto'!$O$10,'Dati di Supporto'!$P$10,Vendite!G104='Dati di Supporto'!$O$11,'Dati di Supporto'!$P$11,Vendite!G104='Dati di Supporto'!$O$12,'Dati di Supporto'!$P$12,Vendite!G104='Dati di Supporto'!$O$13,'Dati di Supporto'!$P$13,Vendite!G104='Dati di Supporto'!$O$14,'Dati di Supporto'!$P$14)</f>
        <v>Assegno Bancario</v>
      </c>
    </row>
    <row r="105" spans="1:13" x14ac:dyDescent="0.3">
      <c r="A105" s="11">
        <v>104</v>
      </c>
      <c r="B105" s="6">
        <v>41811</v>
      </c>
      <c r="C105" s="1" t="s">
        <v>8</v>
      </c>
      <c r="D105" s="2" t="s">
        <v>104</v>
      </c>
      <c r="E105" s="2" t="s">
        <v>10</v>
      </c>
      <c r="F105" s="3">
        <v>1693</v>
      </c>
      <c r="G105" s="15">
        <v>1</v>
      </c>
      <c r="H105" t="str">
        <f>VLOOKUP(D105,'Dati di Supporto'!$B$2:$C$104,2,FALSE)</f>
        <v>Friuli-Venezia Giulia</v>
      </c>
      <c r="I105" t="str">
        <f>VLOOKUP(D105,'Dati di Supporto'!$B$2:$D$104,3,FALSE)</f>
        <v>PN</v>
      </c>
      <c r="J105" t="str">
        <f>VLOOKUP(H105,'Dati di Supporto'!$G$2:$H$21,2,FALSE)</f>
        <v>NORD</v>
      </c>
      <c r="K105">
        <f t="shared" si="1"/>
        <v>70</v>
      </c>
      <c r="L105" t="str">
        <f>_xlfn.IFS(Vendite!F105&lt;'Dati di Supporto'!$O$3,'Dati di Supporto'!$P$2,Vendite!F105&lt;'Dati di Supporto'!$O$4,'Dati di Supporto'!$P$3,Vendite!F105&lt;'Dati di Supporto'!$O$5,'Dati di Supporto'!$P$4,Vendite!F105&lt;'Dati di Supporto'!$O$6,'Dati di Supporto'!$P$5,Vendite!F105&gt;'Dati di Supporto'!$O$6,'Dati di Supporto'!$P$6)</f>
        <v>Fascia 5 (da 1500 € e oltre)</v>
      </c>
      <c r="M105" t="str">
        <f>_xlfn.IFS(G105='Dati di Supporto'!$O$10,'Dati di Supporto'!$P$10,Vendite!G105='Dati di Supporto'!$O$11,'Dati di Supporto'!$P$11,Vendite!G105='Dati di Supporto'!$O$12,'Dati di Supporto'!$P$12,Vendite!G105='Dati di Supporto'!$O$13,'Dati di Supporto'!$P$13,Vendite!G105='Dati di Supporto'!$O$14,'Dati di Supporto'!$P$14)</f>
        <v>Contanti</v>
      </c>
    </row>
    <row r="106" spans="1:13" x14ac:dyDescent="0.3">
      <c r="A106" s="11">
        <v>105</v>
      </c>
      <c r="B106" s="6">
        <v>41698</v>
      </c>
      <c r="C106" s="1" t="s">
        <v>3</v>
      </c>
      <c r="D106" s="2" t="s">
        <v>106</v>
      </c>
      <c r="E106" s="2" t="s">
        <v>252</v>
      </c>
      <c r="F106" s="3">
        <v>1710</v>
      </c>
      <c r="G106" s="15">
        <v>2</v>
      </c>
      <c r="H106" t="str">
        <f>VLOOKUP(D106,'Dati di Supporto'!$B$2:$C$104,2,FALSE)</f>
        <v>Toscana</v>
      </c>
      <c r="I106" t="str">
        <f>VLOOKUP(D106,'Dati di Supporto'!$B$2:$D$104,3,FALSE)</f>
        <v>PO</v>
      </c>
      <c r="J106" t="str">
        <f>VLOOKUP(H106,'Dati di Supporto'!$G$2:$H$21,2,FALSE)</f>
        <v>CENTRO</v>
      </c>
      <c r="K106">
        <f t="shared" si="1"/>
        <v>87</v>
      </c>
      <c r="L106" t="str">
        <f>_xlfn.IFS(Vendite!F106&lt;'Dati di Supporto'!$O$3,'Dati di Supporto'!$P$2,Vendite!F106&lt;'Dati di Supporto'!$O$4,'Dati di Supporto'!$P$3,Vendite!F106&lt;'Dati di Supporto'!$O$5,'Dati di Supporto'!$P$4,Vendite!F106&lt;'Dati di Supporto'!$O$6,'Dati di Supporto'!$P$5,Vendite!F106&gt;'Dati di Supporto'!$O$6,'Dati di Supporto'!$P$6)</f>
        <v>Fascia 5 (da 1500 € e oltre)</v>
      </c>
      <c r="M106" t="str">
        <f>_xlfn.IFS(G106='Dati di Supporto'!$O$10,'Dati di Supporto'!$P$10,Vendite!G106='Dati di Supporto'!$O$11,'Dati di Supporto'!$P$11,Vendite!G106='Dati di Supporto'!$O$12,'Dati di Supporto'!$P$12,Vendite!G106='Dati di Supporto'!$O$13,'Dati di Supporto'!$P$13,Vendite!G106='Dati di Supporto'!$O$14,'Dati di Supporto'!$P$14)</f>
        <v>Bonifico Bancario</v>
      </c>
    </row>
    <row r="107" spans="1:13" x14ac:dyDescent="0.3">
      <c r="A107" s="11">
        <v>106</v>
      </c>
      <c r="B107" s="6">
        <v>41651</v>
      </c>
      <c r="C107" s="1" t="s">
        <v>247</v>
      </c>
      <c r="D107" s="2" t="s">
        <v>100</v>
      </c>
      <c r="E107" s="2" t="s">
        <v>250</v>
      </c>
      <c r="F107" s="3">
        <v>1921</v>
      </c>
      <c r="G107" s="15">
        <v>5</v>
      </c>
      <c r="H107" t="str">
        <f>VLOOKUP(D107,'Dati di Supporto'!$B$2:$C$104,2,FALSE)</f>
        <v>Abruzzo</v>
      </c>
      <c r="I107" t="str">
        <f>VLOOKUP(D107,'Dati di Supporto'!$B$2:$D$104,3,FALSE)</f>
        <v>PE</v>
      </c>
      <c r="J107" t="str">
        <f>VLOOKUP(H107,'Dati di Supporto'!$G$2:$H$21,2,FALSE)</f>
        <v>CENTRO</v>
      </c>
      <c r="K107">
        <f t="shared" si="1"/>
        <v>83</v>
      </c>
      <c r="L107" t="str">
        <f>_xlfn.IFS(Vendite!F107&lt;'Dati di Supporto'!$O$3,'Dati di Supporto'!$P$2,Vendite!F107&lt;'Dati di Supporto'!$O$4,'Dati di Supporto'!$P$3,Vendite!F107&lt;'Dati di Supporto'!$O$5,'Dati di Supporto'!$P$4,Vendite!F107&lt;'Dati di Supporto'!$O$6,'Dati di Supporto'!$P$5,Vendite!F107&gt;'Dati di Supporto'!$O$6,'Dati di Supporto'!$P$6)</f>
        <v>Fascia 5 (da 1500 € e oltre)</v>
      </c>
      <c r="M107" t="str">
        <f>_xlfn.IFS(G107='Dati di Supporto'!$O$10,'Dati di Supporto'!$P$10,Vendite!G107='Dati di Supporto'!$O$11,'Dati di Supporto'!$P$11,Vendite!G107='Dati di Supporto'!$O$12,'Dati di Supporto'!$P$12,Vendite!G107='Dati di Supporto'!$O$13,'Dati di Supporto'!$P$13,Vendite!G107='Dati di Supporto'!$O$14,'Dati di Supporto'!$P$14)</f>
        <v>Assegno Bancario</v>
      </c>
    </row>
    <row r="108" spans="1:13" x14ac:dyDescent="0.3">
      <c r="A108" s="11">
        <v>107</v>
      </c>
      <c r="B108" s="6">
        <v>41769</v>
      </c>
      <c r="C108" s="1" t="s">
        <v>247</v>
      </c>
      <c r="D108" s="2" t="s">
        <v>108</v>
      </c>
      <c r="E108" s="2" t="s">
        <v>10</v>
      </c>
      <c r="F108" s="3">
        <v>1427</v>
      </c>
      <c r="G108" s="15">
        <v>4</v>
      </c>
      <c r="H108" t="str">
        <f>VLOOKUP(D108,'Dati di Supporto'!$B$2:$C$104,2,FALSE)</f>
        <v>Emilia-Romagna</v>
      </c>
      <c r="I108" t="str">
        <f>VLOOKUP(D108,'Dati di Supporto'!$B$2:$D$104,3,FALSE)</f>
        <v>RA</v>
      </c>
      <c r="J108" t="str">
        <f>VLOOKUP(H108,'Dati di Supporto'!$G$2:$H$21,2,FALSE)</f>
        <v>NORD</v>
      </c>
      <c r="K108">
        <f t="shared" si="1"/>
        <v>83</v>
      </c>
      <c r="L108" t="str">
        <f>_xlfn.IFS(Vendite!F108&lt;'Dati di Supporto'!$O$3,'Dati di Supporto'!$P$2,Vendite!F108&lt;'Dati di Supporto'!$O$4,'Dati di Supporto'!$P$3,Vendite!F108&lt;'Dati di Supporto'!$O$5,'Dati di Supporto'!$P$4,Vendite!F108&lt;'Dati di Supporto'!$O$6,'Dati di Supporto'!$P$5,Vendite!F108&gt;'Dati di Supporto'!$O$6,'Dati di Supporto'!$P$6)</f>
        <v>Fascia 4 (da 1200 €  a meno di 1500 €)</v>
      </c>
      <c r="M108" t="str">
        <f>_xlfn.IFS(G108='Dati di Supporto'!$O$10,'Dati di Supporto'!$P$10,Vendite!G108='Dati di Supporto'!$O$11,'Dati di Supporto'!$P$11,Vendite!G108='Dati di Supporto'!$O$12,'Dati di Supporto'!$P$12,Vendite!G108='Dati di Supporto'!$O$13,'Dati di Supporto'!$P$13,Vendite!G108='Dati di Supporto'!$O$14,'Dati di Supporto'!$P$14)</f>
        <v>Bollettino postale</v>
      </c>
    </row>
    <row r="109" spans="1:13" x14ac:dyDescent="0.3">
      <c r="A109" s="11">
        <v>108</v>
      </c>
      <c r="B109" s="6">
        <v>41812</v>
      </c>
      <c r="C109" s="1" t="s">
        <v>248</v>
      </c>
      <c r="D109" s="2" t="s">
        <v>135</v>
      </c>
      <c r="E109" s="2" t="s">
        <v>252</v>
      </c>
      <c r="F109" s="3">
        <v>1205</v>
      </c>
      <c r="G109" s="15">
        <v>5</v>
      </c>
      <c r="H109" t="str">
        <f>VLOOKUP(D109,'Dati di Supporto'!$B$2:$C$104,2,FALSE)</f>
        <v>Lazio</v>
      </c>
      <c r="I109" t="str">
        <f>VLOOKUP(D109,'Dati di Supporto'!$B$2:$D$104,3,FALSE)</f>
        <v>VT</v>
      </c>
      <c r="J109" t="str">
        <f>VLOOKUP(H109,'Dati di Supporto'!$G$2:$H$21,2,FALSE)</f>
        <v>CENTRO</v>
      </c>
      <c r="K109">
        <f t="shared" si="1"/>
        <v>80</v>
      </c>
      <c r="L109" t="str">
        <f>_xlfn.IFS(Vendite!F109&lt;'Dati di Supporto'!$O$3,'Dati di Supporto'!$P$2,Vendite!F109&lt;'Dati di Supporto'!$O$4,'Dati di Supporto'!$P$3,Vendite!F109&lt;'Dati di Supporto'!$O$5,'Dati di Supporto'!$P$4,Vendite!F109&lt;'Dati di Supporto'!$O$6,'Dati di Supporto'!$P$5,Vendite!F109&gt;'Dati di Supporto'!$O$6,'Dati di Supporto'!$P$6)</f>
        <v>Fascia 4 (da 1200 €  a meno di 1500 €)</v>
      </c>
      <c r="M109" t="str">
        <f>_xlfn.IFS(G109='Dati di Supporto'!$O$10,'Dati di Supporto'!$P$10,Vendite!G109='Dati di Supporto'!$O$11,'Dati di Supporto'!$P$11,Vendite!G109='Dati di Supporto'!$O$12,'Dati di Supporto'!$P$12,Vendite!G109='Dati di Supporto'!$O$13,'Dati di Supporto'!$P$13,Vendite!G109='Dati di Supporto'!$O$14,'Dati di Supporto'!$P$14)</f>
        <v>Assegno Bancario</v>
      </c>
    </row>
    <row r="110" spans="1:13" x14ac:dyDescent="0.3">
      <c r="A110" s="11">
        <v>109</v>
      </c>
      <c r="B110" s="6">
        <v>41646</v>
      </c>
      <c r="C110" s="1" t="s">
        <v>3</v>
      </c>
      <c r="D110" s="2" t="s">
        <v>106</v>
      </c>
      <c r="E110" s="2" t="s">
        <v>250</v>
      </c>
      <c r="F110" s="3">
        <v>1697</v>
      </c>
      <c r="G110" s="15">
        <v>1</v>
      </c>
      <c r="H110" t="str">
        <f>VLOOKUP(D110,'Dati di Supporto'!$B$2:$C$104,2,FALSE)</f>
        <v>Toscana</v>
      </c>
      <c r="I110" t="str">
        <f>VLOOKUP(D110,'Dati di Supporto'!$B$2:$D$104,3,FALSE)</f>
        <v>PO</v>
      </c>
      <c r="J110" t="str">
        <f>VLOOKUP(H110,'Dati di Supporto'!$G$2:$H$21,2,FALSE)</f>
        <v>CENTRO</v>
      </c>
      <c r="K110">
        <f t="shared" si="1"/>
        <v>87</v>
      </c>
      <c r="L110" t="str">
        <f>_xlfn.IFS(Vendite!F110&lt;'Dati di Supporto'!$O$3,'Dati di Supporto'!$P$2,Vendite!F110&lt;'Dati di Supporto'!$O$4,'Dati di Supporto'!$P$3,Vendite!F110&lt;'Dati di Supporto'!$O$5,'Dati di Supporto'!$P$4,Vendite!F110&lt;'Dati di Supporto'!$O$6,'Dati di Supporto'!$P$5,Vendite!F110&gt;'Dati di Supporto'!$O$6,'Dati di Supporto'!$P$6)</f>
        <v>Fascia 5 (da 1500 € e oltre)</v>
      </c>
      <c r="M110" t="str">
        <f>_xlfn.IFS(G110='Dati di Supporto'!$O$10,'Dati di Supporto'!$P$10,Vendite!G110='Dati di Supporto'!$O$11,'Dati di Supporto'!$P$11,Vendite!G110='Dati di Supporto'!$O$12,'Dati di Supporto'!$P$12,Vendite!G110='Dati di Supporto'!$O$13,'Dati di Supporto'!$P$13,Vendite!G110='Dati di Supporto'!$O$14,'Dati di Supporto'!$P$14)</f>
        <v>Contanti</v>
      </c>
    </row>
    <row r="111" spans="1:13" x14ac:dyDescent="0.3">
      <c r="A111" s="11">
        <v>110</v>
      </c>
      <c r="B111" s="6">
        <v>41807</v>
      </c>
      <c r="C111" s="1" t="s">
        <v>1</v>
      </c>
      <c r="D111" s="2" t="s">
        <v>132</v>
      </c>
      <c r="E111" s="2" t="s">
        <v>11</v>
      </c>
      <c r="F111" s="3">
        <v>1576</v>
      </c>
      <c r="G111" s="15">
        <v>5</v>
      </c>
      <c r="H111" t="str">
        <f>VLOOKUP(D111,'Dati di Supporto'!$B$2:$C$104,2,FALSE)</f>
        <v>Veneto</v>
      </c>
      <c r="I111" t="str">
        <f>VLOOKUP(D111,'Dati di Supporto'!$B$2:$D$104,3,FALSE)</f>
        <v>VR</v>
      </c>
      <c r="J111" t="str">
        <f>VLOOKUP(H111,'Dati di Supporto'!$G$2:$H$21,2,FALSE)</f>
        <v>NORD</v>
      </c>
      <c r="K111">
        <f t="shared" si="1"/>
        <v>96</v>
      </c>
      <c r="L111" t="str">
        <f>_xlfn.IFS(Vendite!F111&lt;'Dati di Supporto'!$O$3,'Dati di Supporto'!$P$2,Vendite!F111&lt;'Dati di Supporto'!$O$4,'Dati di Supporto'!$P$3,Vendite!F111&lt;'Dati di Supporto'!$O$5,'Dati di Supporto'!$P$4,Vendite!F111&lt;'Dati di Supporto'!$O$6,'Dati di Supporto'!$P$5,Vendite!F111&gt;'Dati di Supporto'!$O$6,'Dati di Supporto'!$P$6)</f>
        <v>Fascia 5 (da 1500 € e oltre)</v>
      </c>
      <c r="M111" t="str">
        <f>_xlfn.IFS(G111='Dati di Supporto'!$O$10,'Dati di Supporto'!$P$10,Vendite!G111='Dati di Supporto'!$O$11,'Dati di Supporto'!$P$11,Vendite!G111='Dati di Supporto'!$O$12,'Dati di Supporto'!$P$12,Vendite!G111='Dati di Supporto'!$O$13,'Dati di Supporto'!$P$13,Vendite!G111='Dati di Supporto'!$O$14,'Dati di Supporto'!$P$14)</f>
        <v>Assegno Bancario</v>
      </c>
    </row>
    <row r="112" spans="1:13" x14ac:dyDescent="0.3">
      <c r="A112" s="11">
        <v>111</v>
      </c>
      <c r="B112" s="6">
        <v>41699</v>
      </c>
      <c r="C112" s="1" t="s">
        <v>248</v>
      </c>
      <c r="D112" s="2" t="s">
        <v>110</v>
      </c>
      <c r="E112" s="2" t="s">
        <v>251</v>
      </c>
      <c r="F112" s="3">
        <v>1520</v>
      </c>
      <c r="G112" s="15">
        <v>5</v>
      </c>
      <c r="H112" t="str">
        <f>VLOOKUP(D112,'Dati di Supporto'!$B$2:$C$104,2,FALSE)</f>
        <v>Emilia-Romagna</v>
      </c>
      <c r="I112" t="str">
        <f>VLOOKUP(D112,'Dati di Supporto'!$B$2:$D$104,3,FALSE)</f>
        <v>RN</v>
      </c>
      <c r="J112" t="str">
        <f>VLOOKUP(H112,'Dati di Supporto'!$G$2:$H$21,2,FALSE)</f>
        <v>NORD</v>
      </c>
      <c r="K112">
        <f t="shared" si="1"/>
        <v>80</v>
      </c>
      <c r="L112" t="str">
        <f>_xlfn.IFS(Vendite!F112&lt;'Dati di Supporto'!$O$3,'Dati di Supporto'!$P$2,Vendite!F112&lt;'Dati di Supporto'!$O$4,'Dati di Supporto'!$P$3,Vendite!F112&lt;'Dati di Supporto'!$O$5,'Dati di Supporto'!$P$4,Vendite!F112&lt;'Dati di Supporto'!$O$6,'Dati di Supporto'!$P$5,Vendite!F112&gt;'Dati di Supporto'!$O$6,'Dati di Supporto'!$P$6)</f>
        <v>Fascia 5 (da 1500 € e oltre)</v>
      </c>
      <c r="M112" t="str">
        <f>_xlfn.IFS(G112='Dati di Supporto'!$O$10,'Dati di Supporto'!$P$10,Vendite!G112='Dati di Supporto'!$O$11,'Dati di Supporto'!$P$11,Vendite!G112='Dati di Supporto'!$O$12,'Dati di Supporto'!$P$12,Vendite!G112='Dati di Supporto'!$O$13,'Dati di Supporto'!$P$13,Vendite!G112='Dati di Supporto'!$O$14,'Dati di Supporto'!$P$14)</f>
        <v>Assegno Bancario</v>
      </c>
    </row>
    <row r="113" spans="1:13" x14ac:dyDescent="0.3">
      <c r="A113" s="11">
        <v>112</v>
      </c>
      <c r="B113" s="6">
        <v>41680</v>
      </c>
      <c r="C113" s="1" t="s">
        <v>247</v>
      </c>
      <c r="D113" s="2" t="s">
        <v>121</v>
      </c>
      <c r="E113" s="2" t="s">
        <v>251</v>
      </c>
      <c r="F113" s="3">
        <v>115</v>
      </c>
      <c r="G113" s="15">
        <v>1</v>
      </c>
      <c r="H113" t="str">
        <f>VLOOKUP(D113,'Dati di Supporto'!$B$2:$C$104,2,FALSE)</f>
        <v>Umbria</v>
      </c>
      <c r="I113" t="str">
        <f>VLOOKUP(D113,'Dati di Supporto'!$B$2:$D$104,3,FALSE)</f>
        <v>TR</v>
      </c>
      <c r="J113" t="str">
        <f>VLOOKUP(H113,'Dati di Supporto'!$G$2:$H$21,2,FALSE)</f>
        <v>CENTRO</v>
      </c>
      <c r="K113">
        <f t="shared" si="1"/>
        <v>83</v>
      </c>
      <c r="L113" t="str">
        <f>_xlfn.IFS(Vendite!F113&lt;'Dati di Supporto'!$O$3,'Dati di Supporto'!$P$2,Vendite!F113&lt;'Dati di Supporto'!$O$4,'Dati di Supporto'!$P$3,Vendite!F113&lt;'Dati di Supporto'!$O$5,'Dati di Supporto'!$P$4,Vendite!F113&lt;'Dati di Supporto'!$O$6,'Dati di Supporto'!$P$5,Vendite!F113&gt;'Dati di Supporto'!$O$6,'Dati di Supporto'!$P$6)</f>
        <v>Fascia 1 (inferiore a 400 €)</v>
      </c>
      <c r="M113" t="str">
        <f>_xlfn.IFS(G113='Dati di Supporto'!$O$10,'Dati di Supporto'!$P$10,Vendite!G113='Dati di Supporto'!$O$11,'Dati di Supporto'!$P$11,Vendite!G113='Dati di Supporto'!$O$12,'Dati di Supporto'!$P$12,Vendite!G113='Dati di Supporto'!$O$13,'Dati di Supporto'!$P$13,Vendite!G113='Dati di Supporto'!$O$14,'Dati di Supporto'!$P$14)</f>
        <v>Contanti</v>
      </c>
    </row>
    <row r="114" spans="1:13" x14ac:dyDescent="0.3">
      <c r="A114" s="11">
        <v>113</v>
      </c>
      <c r="B114" s="6">
        <v>41818</v>
      </c>
      <c r="C114" s="1" t="s">
        <v>8</v>
      </c>
      <c r="D114" s="2" t="s">
        <v>123</v>
      </c>
      <c r="E114" s="2" t="s">
        <v>11</v>
      </c>
      <c r="F114" s="3">
        <v>898</v>
      </c>
      <c r="G114" s="15">
        <v>2</v>
      </c>
      <c r="H114" t="str">
        <f>VLOOKUP(D114,'Dati di Supporto'!$B$2:$C$104,2,FALSE)</f>
        <v>Sicilia</v>
      </c>
      <c r="I114" t="str">
        <f>VLOOKUP(D114,'Dati di Supporto'!$B$2:$D$104,3,FALSE)</f>
        <v>TP</v>
      </c>
      <c r="J114" t="str">
        <f>VLOOKUP(H114,'Dati di Supporto'!$G$2:$H$21,2,FALSE)</f>
        <v>ISOLE</v>
      </c>
      <c r="K114">
        <f t="shared" si="1"/>
        <v>70</v>
      </c>
      <c r="L114" t="str">
        <f>_xlfn.IFS(Vendite!F114&lt;'Dati di Supporto'!$O$3,'Dati di Supporto'!$P$2,Vendite!F114&lt;'Dati di Supporto'!$O$4,'Dati di Supporto'!$P$3,Vendite!F114&lt;'Dati di Supporto'!$O$5,'Dati di Supporto'!$P$4,Vendite!F114&lt;'Dati di Supporto'!$O$6,'Dati di Supporto'!$P$5,Vendite!F114&gt;'Dati di Supporto'!$O$6,'Dati di Supporto'!$P$6)</f>
        <v>Fascia 3 (da 800 €  a meno di 1200 €)</v>
      </c>
      <c r="M114" t="str">
        <f>_xlfn.IFS(G114='Dati di Supporto'!$O$10,'Dati di Supporto'!$P$10,Vendite!G114='Dati di Supporto'!$O$11,'Dati di Supporto'!$P$11,Vendite!G114='Dati di Supporto'!$O$12,'Dati di Supporto'!$P$12,Vendite!G114='Dati di Supporto'!$O$13,'Dati di Supporto'!$P$13,Vendite!G114='Dati di Supporto'!$O$14,'Dati di Supporto'!$P$14)</f>
        <v>Bonifico Bancario</v>
      </c>
    </row>
    <row r="115" spans="1:13" x14ac:dyDescent="0.3">
      <c r="A115" s="11">
        <v>114</v>
      </c>
      <c r="B115" s="6">
        <v>41766</v>
      </c>
      <c r="C115" s="1" t="s">
        <v>247</v>
      </c>
      <c r="D115" s="2" t="s">
        <v>121</v>
      </c>
      <c r="E115" s="2" t="s">
        <v>11</v>
      </c>
      <c r="F115" s="3">
        <v>1505</v>
      </c>
      <c r="G115" s="15">
        <v>2</v>
      </c>
      <c r="H115" t="str">
        <f>VLOOKUP(D115,'Dati di Supporto'!$B$2:$C$104,2,FALSE)</f>
        <v>Umbria</v>
      </c>
      <c r="I115" t="str">
        <f>VLOOKUP(D115,'Dati di Supporto'!$B$2:$D$104,3,FALSE)</f>
        <v>TR</v>
      </c>
      <c r="J115" t="str">
        <f>VLOOKUP(H115,'Dati di Supporto'!$G$2:$H$21,2,FALSE)</f>
        <v>CENTRO</v>
      </c>
      <c r="K115">
        <f t="shared" si="1"/>
        <v>83</v>
      </c>
      <c r="L115" t="str">
        <f>_xlfn.IFS(Vendite!F115&lt;'Dati di Supporto'!$O$3,'Dati di Supporto'!$P$2,Vendite!F115&lt;'Dati di Supporto'!$O$4,'Dati di Supporto'!$P$3,Vendite!F115&lt;'Dati di Supporto'!$O$5,'Dati di Supporto'!$P$4,Vendite!F115&lt;'Dati di Supporto'!$O$6,'Dati di Supporto'!$P$5,Vendite!F115&gt;'Dati di Supporto'!$O$6,'Dati di Supporto'!$P$6)</f>
        <v>Fascia 5 (da 1500 € e oltre)</v>
      </c>
      <c r="M115" t="str">
        <f>_xlfn.IFS(G115='Dati di Supporto'!$O$10,'Dati di Supporto'!$P$10,Vendite!G115='Dati di Supporto'!$O$11,'Dati di Supporto'!$P$11,Vendite!G115='Dati di Supporto'!$O$12,'Dati di Supporto'!$P$12,Vendite!G115='Dati di Supporto'!$O$13,'Dati di Supporto'!$P$13,Vendite!G115='Dati di Supporto'!$O$14,'Dati di Supporto'!$P$14)</f>
        <v>Bonifico Bancario</v>
      </c>
    </row>
    <row r="116" spans="1:13" x14ac:dyDescent="0.3">
      <c r="A116" s="11">
        <v>115</v>
      </c>
      <c r="B116" s="6">
        <v>41650</v>
      </c>
      <c r="C116" s="1" t="s">
        <v>248</v>
      </c>
      <c r="D116" s="2" t="s">
        <v>126</v>
      </c>
      <c r="E116" s="2" t="s">
        <v>251</v>
      </c>
      <c r="F116" s="3">
        <v>977</v>
      </c>
      <c r="G116" s="15">
        <v>5</v>
      </c>
      <c r="H116" t="str">
        <f>VLOOKUP(D116,'Dati di Supporto'!$B$2:$C$104,2,FALSE)</f>
        <v>Friuli-Venezia Giulia</v>
      </c>
      <c r="I116" t="str">
        <f>VLOOKUP(D116,'Dati di Supporto'!$B$2:$D$104,3,FALSE)</f>
        <v>TS</v>
      </c>
      <c r="J116" t="str">
        <f>VLOOKUP(H116,'Dati di Supporto'!$G$2:$H$21,2,FALSE)</f>
        <v>NORD</v>
      </c>
      <c r="K116">
        <f t="shared" si="1"/>
        <v>80</v>
      </c>
      <c r="L116" t="str">
        <f>_xlfn.IFS(Vendite!F116&lt;'Dati di Supporto'!$O$3,'Dati di Supporto'!$P$2,Vendite!F116&lt;'Dati di Supporto'!$O$4,'Dati di Supporto'!$P$3,Vendite!F116&lt;'Dati di Supporto'!$O$5,'Dati di Supporto'!$P$4,Vendite!F116&lt;'Dati di Supporto'!$O$6,'Dati di Supporto'!$P$5,Vendite!F116&gt;'Dati di Supporto'!$O$6,'Dati di Supporto'!$P$6)</f>
        <v>Fascia 3 (da 800 €  a meno di 1200 €)</v>
      </c>
      <c r="M116" t="str">
        <f>_xlfn.IFS(G116='Dati di Supporto'!$O$10,'Dati di Supporto'!$P$10,Vendite!G116='Dati di Supporto'!$O$11,'Dati di Supporto'!$P$11,Vendite!G116='Dati di Supporto'!$O$12,'Dati di Supporto'!$P$12,Vendite!G116='Dati di Supporto'!$O$13,'Dati di Supporto'!$P$13,Vendite!G116='Dati di Supporto'!$O$14,'Dati di Supporto'!$P$14)</f>
        <v>Assegno Bancario</v>
      </c>
    </row>
    <row r="117" spans="1:13" x14ac:dyDescent="0.3">
      <c r="A117" s="11">
        <v>116</v>
      </c>
      <c r="B117" s="6">
        <v>41726</v>
      </c>
      <c r="C117" s="1" t="s">
        <v>3</v>
      </c>
      <c r="D117" s="2" t="s">
        <v>109</v>
      </c>
      <c r="E117" s="2" t="s">
        <v>251</v>
      </c>
      <c r="F117" s="3">
        <v>724</v>
      </c>
      <c r="G117" s="15">
        <v>1</v>
      </c>
      <c r="H117" t="str">
        <f>VLOOKUP(D117,'Dati di Supporto'!$B$2:$C$104,2,FALSE)</f>
        <v>Lazio</v>
      </c>
      <c r="I117" t="str">
        <f>VLOOKUP(D117,'Dati di Supporto'!$B$2:$D$104,3,FALSE)</f>
        <v>RI</v>
      </c>
      <c r="J117" t="str">
        <f>VLOOKUP(H117,'Dati di Supporto'!$G$2:$H$21,2,FALSE)</f>
        <v>CENTRO</v>
      </c>
      <c r="K117">
        <f t="shared" si="1"/>
        <v>87</v>
      </c>
      <c r="L117" t="str">
        <f>_xlfn.IFS(Vendite!F117&lt;'Dati di Supporto'!$O$3,'Dati di Supporto'!$P$2,Vendite!F117&lt;'Dati di Supporto'!$O$4,'Dati di Supporto'!$P$3,Vendite!F117&lt;'Dati di Supporto'!$O$5,'Dati di Supporto'!$P$4,Vendite!F117&lt;'Dati di Supporto'!$O$6,'Dati di Supporto'!$P$5,Vendite!F117&gt;'Dati di Supporto'!$O$6,'Dati di Supporto'!$P$6)</f>
        <v>Fascia 2 (da 400 €  a meno di 800 €)</v>
      </c>
      <c r="M117" t="str">
        <f>_xlfn.IFS(G117='Dati di Supporto'!$O$10,'Dati di Supporto'!$P$10,Vendite!G117='Dati di Supporto'!$O$11,'Dati di Supporto'!$P$11,Vendite!G117='Dati di Supporto'!$O$12,'Dati di Supporto'!$P$12,Vendite!G117='Dati di Supporto'!$O$13,'Dati di Supporto'!$P$13,Vendite!G117='Dati di Supporto'!$O$14,'Dati di Supporto'!$P$14)</f>
        <v>Contanti</v>
      </c>
    </row>
    <row r="118" spans="1:13" x14ac:dyDescent="0.3">
      <c r="A118" s="11">
        <v>117</v>
      </c>
      <c r="B118" s="6">
        <v>41738</v>
      </c>
      <c r="C118" s="1" t="s">
        <v>8</v>
      </c>
      <c r="D118" s="2" t="s">
        <v>103</v>
      </c>
      <c r="E118" s="2" t="s">
        <v>10</v>
      </c>
      <c r="F118" s="3">
        <v>760</v>
      </c>
      <c r="G118" s="15">
        <v>5</v>
      </c>
      <c r="H118" t="str">
        <f>VLOOKUP(D118,'Dati di Supporto'!$B$2:$C$104,2,FALSE)</f>
        <v>Toscana</v>
      </c>
      <c r="I118" t="str">
        <f>VLOOKUP(D118,'Dati di Supporto'!$B$2:$D$104,3,FALSE)</f>
        <v>PT</v>
      </c>
      <c r="J118" t="str">
        <f>VLOOKUP(H118,'Dati di Supporto'!$G$2:$H$21,2,FALSE)</f>
        <v>CENTRO</v>
      </c>
      <c r="K118">
        <f t="shared" si="1"/>
        <v>70</v>
      </c>
      <c r="L118" t="str">
        <f>_xlfn.IFS(Vendite!F118&lt;'Dati di Supporto'!$O$3,'Dati di Supporto'!$P$2,Vendite!F118&lt;'Dati di Supporto'!$O$4,'Dati di Supporto'!$P$3,Vendite!F118&lt;'Dati di Supporto'!$O$5,'Dati di Supporto'!$P$4,Vendite!F118&lt;'Dati di Supporto'!$O$6,'Dati di Supporto'!$P$5,Vendite!F118&gt;'Dati di Supporto'!$O$6,'Dati di Supporto'!$P$6)</f>
        <v>Fascia 2 (da 400 €  a meno di 800 €)</v>
      </c>
      <c r="M118" t="str">
        <f>_xlfn.IFS(G118='Dati di Supporto'!$O$10,'Dati di Supporto'!$P$10,Vendite!G118='Dati di Supporto'!$O$11,'Dati di Supporto'!$P$11,Vendite!G118='Dati di Supporto'!$O$12,'Dati di Supporto'!$P$12,Vendite!G118='Dati di Supporto'!$O$13,'Dati di Supporto'!$P$13,Vendite!G118='Dati di Supporto'!$O$14,'Dati di Supporto'!$P$14)</f>
        <v>Assegno Bancario</v>
      </c>
    </row>
    <row r="119" spans="1:13" x14ac:dyDescent="0.3">
      <c r="A119" s="11">
        <v>118</v>
      </c>
      <c r="B119" s="6">
        <v>41793</v>
      </c>
      <c r="C119" s="1" t="s">
        <v>3</v>
      </c>
      <c r="D119" s="2" t="s">
        <v>97</v>
      </c>
      <c r="E119" s="2" t="s">
        <v>250</v>
      </c>
      <c r="F119" s="3">
        <v>403</v>
      </c>
      <c r="G119" s="15">
        <v>4</v>
      </c>
      <c r="H119" t="str">
        <f>VLOOKUP(D119,'Dati di Supporto'!$B$2:$C$104,2,FALSE)</f>
        <v>Lombardia</v>
      </c>
      <c r="I119" t="str">
        <f>VLOOKUP(D119,'Dati di Supporto'!$B$2:$D$104,3,FALSE)</f>
        <v>PV</v>
      </c>
      <c r="J119" t="str">
        <f>VLOOKUP(H119,'Dati di Supporto'!$G$2:$H$21,2,FALSE)</f>
        <v>NORD</v>
      </c>
      <c r="K119">
        <f t="shared" si="1"/>
        <v>87</v>
      </c>
      <c r="L119" t="str">
        <f>_xlfn.IFS(Vendite!F119&lt;'Dati di Supporto'!$O$3,'Dati di Supporto'!$P$2,Vendite!F119&lt;'Dati di Supporto'!$O$4,'Dati di Supporto'!$P$3,Vendite!F119&lt;'Dati di Supporto'!$O$5,'Dati di Supporto'!$P$4,Vendite!F119&lt;'Dati di Supporto'!$O$6,'Dati di Supporto'!$P$5,Vendite!F119&gt;'Dati di Supporto'!$O$6,'Dati di Supporto'!$P$6)</f>
        <v>Fascia 2 (da 400 €  a meno di 800 €)</v>
      </c>
      <c r="M119" t="str">
        <f>_xlfn.IFS(G119='Dati di Supporto'!$O$10,'Dati di Supporto'!$P$10,Vendite!G119='Dati di Supporto'!$O$11,'Dati di Supporto'!$P$11,Vendite!G119='Dati di Supporto'!$O$12,'Dati di Supporto'!$P$12,Vendite!G119='Dati di Supporto'!$O$13,'Dati di Supporto'!$P$13,Vendite!G119='Dati di Supporto'!$O$14,'Dati di Supporto'!$P$14)</f>
        <v>Bollettino postale</v>
      </c>
    </row>
    <row r="120" spans="1:13" x14ac:dyDescent="0.3">
      <c r="A120" s="11">
        <v>119</v>
      </c>
      <c r="B120" s="6">
        <v>41653</v>
      </c>
      <c r="C120" s="1" t="s">
        <v>8</v>
      </c>
      <c r="D120" s="2" t="s">
        <v>113</v>
      </c>
      <c r="E120" s="2" t="s">
        <v>251</v>
      </c>
      <c r="F120" s="3">
        <v>805</v>
      </c>
      <c r="G120" s="15">
        <v>1</v>
      </c>
      <c r="H120" t="str">
        <f>VLOOKUP(D120,'Dati di Supporto'!$B$2:$C$104,2,FALSE)</f>
        <v>Campania</v>
      </c>
      <c r="I120" t="str">
        <f>VLOOKUP(D120,'Dati di Supporto'!$B$2:$D$104,3,FALSE)</f>
        <v>SA</v>
      </c>
      <c r="J120" t="str">
        <f>VLOOKUP(H120,'Dati di Supporto'!$G$2:$H$21,2,FALSE)</f>
        <v>SUD</v>
      </c>
      <c r="K120">
        <f t="shared" si="1"/>
        <v>70</v>
      </c>
      <c r="L120" t="str">
        <f>_xlfn.IFS(Vendite!F120&lt;'Dati di Supporto'!$O$3,'Dati di Supporto'!$P$2,Vendite!F120&lt;'Dati di Supporto'!$O$4,'Dati di Supporto'!$P$3,Vendite!F120&lt;'Dati di Supporto'!$O$5,'Dati di Supporto'!$P$4,Vendite!F120&lt;'Dati di Supporto'!$O$6,'Dati di Supporto'!$P$5,Vendite!F120&gt;'Dati di Supporto'!$O$6,'Dati di Supporto'!$P$6)</f>
        <v>Fascia 3 (da 800 €  a meno di 1200 €)</v>
      </c>
      <c r="M120" t="str">
        <f>_xlfn.IFS(G120='Dati di Supporto'!$O$10,'Dati di Supporto'!$P$10,Vendite!G120='Dati di Supporto'!$O$11,'Dati di Supporto'!$P$11,Vendite!G120='Dati di Supporto'!$O$12,'Dati di Supporto'!$P$12,Vendite!G120='Dati di Supporto'!$O$13,'Dati di Supporto'!$P$13,Vendite!G120='Dati di Supporto'!$O$14,'Dati di Supporto'!$P$14)</f>
        <v>Contanti</v>
      </c>
    </row>
    <row r="121" spans="1:13" x14ac:dyDescent="0.3">
      <c r="A121" s="11">
        <v>120</v>
      </c>
      <c r="B121" s="6">
        <v>41792</v>
      </c>
      <c r="C121" s="1" t="s">
        <v>8</v>
      </c>
      <c r="D121" s="2" t="s">
        <v>116</v>
      </c>
      <c r="E121" s="2" t="s">
        <v>250</v>
      </c>
      <c r="F121" s="3">
        <v>1908</v>
      </c>
      <c r="G121" s="15">
        <v>5</v>
      </c>
      <c r="H121" t="str">
        <f>VLOOKUP(D121,'Dati di Supporto'!$B$2:$C$104,2,FALSE)</f>
        <v>Toscana</v>
      </c>
      <c r="I121" t="str">
        <f>VLOOKUP(D121,'Dati di Supporto'!$B$2:$D$104,3,FALSE)</f>
        <v>SI</v>
      </c>
      <c r="J121" t="str">
        <f>VLOOKUP(H121,'Dati di Supporto'!$G$2:$H$21,2,FALSE)</f>
        <v>CENTRO</v>
      </c>
      <c r="K121">
        <f t="shared" si="1"/>
        <v>70</v>
      </c>
      <c r="L121" t="str">
        <f>_xlfn.IFS(Vendite!F121&lt;'Dati di Supporto'!$O$3,'Dati di Supporto'!$P$2,Vendite!F121&lt;'Dati di Supporto'!$O$4,'Dati di Supporto'!$P$3,Vendite!F121&lt;'Dati di Supporto'!$O$5,'Dati di Supporto'!$P$4,Vendite!F121&lt;'Dati di Supporto'!$O$6,'Dati di Supporto'!$P$5,Vendite!F121&gt;'Dati di Supporto'!$O$6,'Dati di Supporto'!$P$6)</f>
        <v>Fascia 5 (da 1500 € e oltre)</v>
      </c>
      <c r="M121" t="str">
        <f>_xlfn.IFS(G121='Dati di Supporto'!$O$10,'Dati di Supporto'!$P$10,Vendite!G121='Dati di Supporto'!$O$11,'Dati di Supporto'!$P$11,Vendite!G121='Dati di Supporto'!$O$12,'Dati di Supporto'!$P$12,Vendite!G121='Dati di Supporto'!$O$13,'Dati di Supporto'!$P$13,Vendite!G121='Dati di Supporto'!$O$14,'Dati di Supporto'!$P$14)</f>
        <v>Assegno Bancario</v>
      </c>
    </row>
    <row r="122" spans="1:13" x14ac:dyDescent="0.3">
      <c r="A122" s="11">
        <v>121</v>
      </c>
      <c r="B122" s="6">
        <v>41713</v>
      </c>
      <c r="C122" s="1" t="s">
        <v>2</v>
      </c>
      <c r="D122" s="2" t="s">
        <v>113</v>
      </c>
      <c r="E122" s="2" t="s">
        <v>252</v>
      </c>
      <c r="F122" s="3">
        <v>913</v>
      </c>
      <c r="G122" s="15">
        <v>3</v>
      </c>
      <c r="H122" t="str">
        <f>VLOOKUP(D122,'Dati di Supporto'!$B$2:$C$104,2,FALSE)</f>
        <v>Campania</v>
      </c>
      <c r="I122" t="str">
        <f>VLOOKUP(D122,'Dati di Supporto'!$B$2:$D$104,3,FALSE)</f>
        <v>SA</v>
      </c>
      <c r="J122" t="str">
        <f>VLOOKUP(H122,'Dati di Supporto'!$G$2:$H$21,2,FALSE)</f>
        <v>SUD</v>
      </c>
      <c r="K122">
        <f t="shared" si="1"/>
        <v>84</v>
      </c>
      <c r="L122" t="str">
        <f>_xlfn.IFS(Vendite!F122&lt;'Dati di Supporto'!$O$3,'Dati di Supporto'!$P$2,Vendite!F122&lt;'Dati di Supporto'!$O$4,'Dati di Supporto'!$P$3,Vendite!F122&lt;'Dati di Supporto'!$O$5,'Dati di Supporto'!$P$4,Vendite!F122&lt;'Dati di Supporto'!$O$6,'Dati di Supporto'!$P$5,Vendite!F122&gt;'Dati di Supporto'!$O$6,'Dati di Supporto'!$P$6)</f>
        <v>Fascia 3 (da 800 €  a meno di 1200 €)</v>
      </c>
      <c r="M122" t="str">
        <f>_xlfn.IFS(G122='Dati di Supporto'!$O$10,'Dati di Supporto'!$P$10,Vendite!G122='Dati di Supporto'!$O$11,'Dati di Supporto'!$P$11,Vendite!G122='Dati di Supporto'!$O$12,'Dati di Supporto'!$P$12,Vendite!G122='Dati di Supporto'!$O$13,'Dati di Supporto'!$P$13,Vendite!G122='Dati di Supporto'!$O$14,'Dati di Supporto'!$P$14)</f>
        <v>Carta di credito</v>
      </c>
    </row>
    <row r="123" spans="1:13" x14ac:dyDescent="0.3">
      <c r="A123" s="11">
        <v>122</v>
      </c>
      <c r="B123" s="6">
        <v>41731</v>
      </c>
      <c r="C123" s="1" t="s">
        <v>247</v>
      </c>
      <c r="D123" s="2" t="s">
        <v>131</v>
      </c>
      <c r="E123" s="2" t="s">
        <v>251</v>
      </c>
      <c r="F123" s="3">
        <v>1977</v>
      </c>
      <c r="G123" s="15">
        <v>2</v>
      </c>
      <c r="H123" t="str">
        <f>VLOOKUP(D123,'Dati di Supporto'!$B$2:$C$104,2,FALSE)</f>
        <v>Piemonte</v>
      </c>
      <c r="I123" t="str">
        <f>VLOOKUP(D123,'Dati di Supporto'!$B$2:$D$104,3,FALSE)</f>
        <v>VC</v>
      </c>
      <c r="J123" t="str">
        <f>VLOOKUP(H123,'Dati di Supporto'!$G$2:$H$21,2,FALSE)</f>
        <v>NORD</v>
      </c>
      <c r="K123">
        <f t="shared" si="1"/>
        <v>83</v>
      </c>
      <c r="L123" t="str">
        <f>_xlfn.IFS(Vendite!F123&lt;'Dati di Supporto'!$O$3,'Dati di Supporto'!$P$2,Vendite!F123&lt;'Dati di Supporto'!$O$4,'Dati di Supporto'!$P$3,Vendite!F123&lt;'Dati di Supporto'!$O$5,'Dati di Supporto'!$P$4,Vendite!F123&lt;'Dati di Supporto'!$O$6,'Dati di Supporto'!$P$5,Vendite!F123&gt;'Dati di Supporto'!$O$6,'Dati di Supporto'!$P$6)</f>
        <v>Fascia 5 (da 1500 € e oltre)</v>
      </c>
      <c r="M123" t="str">
        <f>_xlfn.IFS(G123='Dati di Supporto'!$O$10,'Dati di Supporto'!$P$10,Vendite!G123='Dati di Supporto'!$O$11,'Dati di Supporto'!$P$11,Vendite!G123='Dati di Supporto'!$O$12,'Dati di Supporto'!$P$12,Vendite!G123='Dati di Supporto'!$O$13,'Dati di Supporto'!$P$13,Vendite!G123='Dati di Supporto'!$O$14,'Dati di Supporto'!$P$14)</f>
        <v>Bonifico Bancario</v>
      </c>
    </row>
    <row r="124" spans="1:13" x14ac:dyDescent="0.3">
      <c r="A124" s="11">
        <v>123</v>
      </c>
      <c r="B124" s="6">
        <v>41755</v>
      </c>
      <c r="C124" s="1" t="s">
        <v>1</v>
      </c>
      <c r="D124" s="2" t="s">
        <v>110</v>
      </c>
      <c r="E124" s="2" t="s">
        <v>10</v>
      </c>
      <c r="F124" s="3">
        <v>1018</v>
      </c>
      <c r="G124" s="15">
        <v>2</v>
      </c>
      <c r="H124" t="str">
        <f>VLOOKUP(D124,'Dati di Supporto'!$B$2:$C$104,2,FALSE)</f>
        <v>Emilia-Romagna</v>
      </c>
      <c r="I124" t="str">
        <f>VLOOKUP(D124,'Dati di Supporto'!$B$2:$D$104,3,FALSE)</f>
        <v>RN</v>
      </c>
      <c r="J124" t="str">
        <f>VLOOKUP(H124,'Dati di Supporto'!$G$2:$H$21,2,FALSE)</f>
        <v>NORD</v>
      </c>
      <c r="K124">
        <f t="shared" si="1"/>
        <v>96</v>
      </c>
      <c r="L124" t="str">
        <f>_xlfn.IFS(Vendite!F124&lt;'Dati di Supporto'!$O$3,'Dati di Supporto'!$P$2,Vendite!F124&lt;'Dati di Supporto'!$O$4,'Dati di Supporto'!$P$3,Vendite!F124&lt;'Dati di Supporto'!$O$5,'Dati di Supporto'!$P$4,Vendite!F124&lt;'Dati di Supporto'!$O$6,'Dati di Supporto'!$P$5,Vendite!F124&gt;'Dati di Supporto'!$O$6,'Dati di Supporto'!$P$6)</f>
        <v>Fascia 3 (da 800 €  a meno di 1200 €)</v>
      </c>
      <c r="M124" t="str">
        <f>_xlfn.IFS(G124='Dati di Supporto'!$O$10,'Dati di Supporto'!$P$10,Vendite!G124='Dati di Supporto'!$O$11,'Dati di Supporto'!$P$11,Vendite!G124='Dati di Supporto'!$O$12,'Dati di Supporto'!$P$12,Vendite!G124='Dati di Supporto'!$O$13,'Dati di Supporto'!$P$13,Vendite!G124='Dati di Supporto'!$O$14,'Dati di Supporto'!$P$14)</f>
        <v>Bonifico Bancario</v>
      </c>
    </row>
    <row r="125" spans="1:13" x14ac:dyDescent="0.3">
      <c r="A125" s="11">
        <v>124</v>
      </c>
      <c r="B125" s="6">
        <v>41698</v>
      </c>
      <c r="C125" s="1" t="s">
        <v>248</v>
      </c>
      <c r="D125" s="2" t="s">
        <v>129</v>
      </c>
      <c r="E125" s="2" t="s">
        <v>251</v>
      </c>
      <c r="F125" s="3">
        <v>1658</v>
      </c>
      <c r="G125" s="15">
        <v>2</v>
      </c>
      <c r="H125" t="str">
        <f>VLOOKUP(D125,'Dati di Supporto'!$B$2:$C$104,2,FALSE)</f>
        <v>Veneto</v>
      </c>
      <c r="I125" t="str">
        <f>VLOOKUP(D125,'Dati di Supporto'!$B$2:$D$104,3,FALSE)</f>
        <v>VE</v>
      </c>
      <c r="J125" t="str">
        <f>VLOOKUP(H125,'Dati di Supporto'!$G$2:$H$21,2,FALSE)</f>
        <v>NORD</v>
      </c>
      <c r="K125">
        <f t="shared" si="1"/>
        <v>80</v>
      </c>
      <c r="L125" t="str">
        <f>_xlfn.IFS(Vendite!F125&lt;'Dati di Supporto'!$O$3,'Dati di Supporto'!$P$2,Vendite!F125&lt;'Dati di Supporto'!$O$4,'Dati di Supporto'!$P$3,Vendite!F125&lt;'Dati di Supporto'!$O$5,'Dati di Supporto'!$P$4,Vendite!F125&lt;'Dati di Supporto'!$O$6,'Dati di Supporto'!$P$5,Vendite!F125&gt;'Dati di Supporto'!$O$6,'Dati di Supporto'!$P$6)</f>
        <v>Fascia 5 (da 1500 € e oltre)</v>
      </c>
      <c r="M125" t="str">
        <f>_xlfn.IFS(G125='Dati di Supporto'!$O$10,'Dati di Supporto'!$P$10,Vendite!G125='Dati di Supporto'!$O$11,'Dati di Supporto'!$P$11,Vendite!G125='Dati di Supporto'!$O$12,'Dati di Supporto'!$P$12,Vendite!G125='Dati di Supporto'!$O$13,'Dati di Supporto'!$P$13,Vendite!G125='Dati di Supporto'!$O$14,'Dati di Supporto'!$P$14)</f>
        <v>Bonifico Bancario</v>
      </c>
    </row>
    <row r="126" spans="1:13" x14ac:dyDescent="0.3">
      <c r="A126" s="11">
        <v>125</v>
      </c>
      <c r="B126" s="6">
        <v>41778</v>
      </c>
      <c r="C126" s="1" t="s">
        <v>247</v>
      </c>
      <c r="D126" s="2" t="s">
        <v>106</v>
      </c>
      <c r="E126" s="2" t="s">
        <v>250</v>
      </c>
      <c r="F126" s="3">
        <v>833</v>
      </c>
      <c r="G126" s="15">
        <v>5</v>
      </c>
      <c r="H126" t="str">
        <f>VLOOKUP(D126,'Dati di Supporto'!$B$2:$C$104,2,FALSE)</f>
        <v>Toscana</v>
      </c>
      <c r="I126" t="str">
        <f>VLOOKUP(D126,'Dati di Supporto'!$B$2:$D$104,3,FALSE)</f>
        <v>PO</v>
      </c>
      <c r="J126" t="str">
        <f>VLOOKUP(H126,'Dati di Supporto'!$G$2:$H$21,2,FALSE)</f>
        <v>CENTRO</v>
      </c>
      <c r="K126">
        <f t="shared" si="1"/>
        <v>83</v>
      </c>
      <c r="L126" t="str">
        <f>_xlfn.IFS(Vendite!F126&lt;'Dati di Supporto'!$O$3,'Dati di Supporto'!$P$2,Vendite!F126&lt;'Dati di Supporto'!$O$4,'Dati di Supporto'!$P$3,Vendite!F126&lt;'Dati di Supporto'!$O$5,'Dati di Supporto'!$P$4,Vendite!F126&lt;'Dati di Supporto'!$O$6,'Dati di Supporto'!$P$5,Vendite!F126&gt;'Dati di Supporto'!$O$6,'Dati di Supporto'!$P$6)</f>
        <v>Fascia 3 (da 800 €  a meno di 1200 €)</v>
      </c>
      <c r="M126" t="str">
        <f>_xlfn.IFS(G126='Dati di Supporto'!$O$10,'Dati di Supporto'!$P$10,Vendite!G126='Dati di Supporto'!$O$11,'Dati di Supporto'!$P$11,Vendite!G126='Dati di Supporto'!$O$12,'Dati di Supporto'!$P$12,Vendite!G126='Dati di Supporto'!$O$13,'Dati di Supporto'!$P$13,Vendite!G126='Dati di Supporto'!$O$14,'Dati di Supporto'!$P$14)</f>
        <v>Assegno Bancario</v>
      </c>
    </row>
    <row r="127" spans="1:13" x14ac:dyDescent="0.3">
      <c r="A127" s="11">
        <v>126</v>
      </c>
      <c r="B127" s="6">
        <v>41678</v>
      </c>
      <c r="C127" s="1" t="s">
        <v>247</v>
      </c>
      <c r="D127" s="2" t="s">
        <v>134</v>
      </c>
      <c r="E127" s="2" t="s">
        <v>252</v>
      </c>
      <c r="F127" s="3">
        <v>718</v>
      </c>
      <c r="G127" s="15">
        <v>5</v>
      </c>
      <c r="H127" t="str">
        <f>VLOOKUP(D127,'Dati di Supporto'!$B$2:$C$104,2,FALSE)</f>
        <v>Veneto</v>
      </c>
      <c r="I127" t="str">
        <f>VLOOKUP(D127,'Dati di Supporto'!$B$2:$D$104,3,FALSE)</f>
        <v>VI</v>
      </c>
      <c r="J127" t="str">
        <f>VLOOKUP(H127,'Dati di Supporto'!$G$2:$H$21,2,FALSE)</f>
        <v>NORD</v>
      </c>
      <c r="K127">
        <f t="shared" si="1"/>
        <v>83</v>
      </c>
      <c r="L127" t="str">
        <f>_xlfn.IFS(Vendite!F127&lt;'Dati di Supporto'!$O$3,'Dati di Supporto'!$P$2,Vendite!F127&lt;'Dati di Supporto'!$O$4,'Dati di Supporto'!$P$3,Vendite!F127&lt;'Dati di Supporto'!$O$5,'Dati di Supporto'!$P$4,Vendite!F127&lt;'Dati di Supporto'!$O$6,'Dati di Supporto'!$P$5,Vendite!F127&gt;'Dati di Supporto'!$O$6,'Dati di Supporto'!$P$6)</f>
        <v>Fascia 2 (da 400 €  a meno di 800 €)</v>
      </c>
      <c r="M127" t="str">
        <f>_xlfn.IFS(G127='Dati di Supporto'!$O$10,'Dati di Supporto'!$P$10,Vendite!G127='Dati di Supporto'!$O$11,'Dati di Supporto'!$P$11,Vendite!G127='Dati di Supporto'!$O$12,'Dati di Supporto'!$P$12,Vendite!G127='Dati di Supporto'!$O$13,'Dati di Supporto'!$P$13,Vendite!G127='Dati di Supporto'!$O$14,'Dati di Supporto'!$P$14)</f>
        <v>Assegno Bancario</v>
      </c>
    </row>
    <row r="128" spans="1:13" x14ac:dyDescent="0.3">
      <c r="A128" s="11">
        <v>127</v>
      </c>
      <c r="B128" s="6">
        <v>41794</v>
      </c>
      <c r="C128" s="1" t="s">
        <v>247</v>
      </c>
      <c r="D128" s="2" t="s">
        <v>130</v>
      </c>
      <c r="E128" s="2" t="s">
        <v>252</v>
      </c>
      <c r="F128" s="3">
        <v>515</v>
      </c>
      <c r="G128" s="15">
        <v>3</v>
      </c>
      <c r="H128" t="str">
        <f>VLOOKUP(D128,'Dati di Supporto'!$B$2:$C$104,2,FALSE)</f>
        <v>Piemonte</v>
      </c>
      <c r="I128" t="str">
        <f>VLOOKUP(D128,'Dati di Supporto'!$B$2:$D$104,3,FALSE)</f>
        <v>VB</v>
      </c>
      <c r="J128" t="str">
        <f>VLOOKUP(H128,'Dati di Supporto'!$G$2:$H$21,2,FALSE)</f>
        <v>NORD</v>
      </c>
      <c r="K128">
        <f t="shared" si="1"/>
        <v>83</v>
      </c>
      <c r="L128" t="str">
        <f>_xlfn.IFS(Vendite!F128&lt;'Dati di Supporto'!$O$3,'Dati di Supporto'!$P$2,Vendite!F128&lt;'Dati di Supporto'!$O$4,'Dati di Supporto'!$P$3,Vendite!F128&lt;'Dati di Supporto'!$O$5,'Dati di Supporto'!$P$4,Vendite!F128&lt;'Dati di Supporto'!$O$6,'Dati di Supporto'!$P$5,Vendite!F128&gt;'Dati di Supporto'!$O$6,'Dati di Supporto'!$P$6)</f>
        <v>Fascia 2 (da 400 €  a meno di 800 €)</v>
      </c>
      <c r="M128" t="str">
        <f>_xlfn.IFS(G128='Dati di Supporto'!$O$10,'Dati di Supporto'!$P$10,Vendite!G128='Dati di Supporto'!$O$11,'Dati di Supporto'!$P$11,Vendite!G128='Dati di Supporto'!$O$12,'Dati di Supporto'!$P$12,Vendite!G128='Dati di Supporto'!$O$13,'Dati di Supporto'!$P$13,Vendite!G128='Dati di Supporto'!$O$14,'Dati di Supporto'!$P$14)</f>
        <v>Carta di credito</v>
      </c>
    </row>
    <row r="129" spans="1:13" x14ac:dyDescent="0.3">
      <c r="A129" s="11">
        <v>128</v>
      </c>
      <c r="B129" s="6">
        <v>41677</v>
      </c>
      <c r="C129" s="1" t="s">
        <v>2</v>
      </c>
      <c r="D129" s="2" t="s">
        <v>135</v>
      </c>
      <c r="E129" s="2" t="s">
        <v>250</v>
      </c>
      <c r="F129" s="3">
        <v>259</v>
      </c>
      <c r="G129" s="15">
        <v>3</v>
      </c>
      <c r="H129" t="str">
        <f>VLOOKUP(D129,'Dati di Supporto'!$B$2:$C$104,2,FALSE)</f>
        <v>Lazio</v>
      </c>
      <c r="I129" t="str">
        <f>VLOOKUP(D129,'Dati di Supporto'!$B$2:$D$104,3,FALSE)</f>
        <v>VT</v>
      </c>
      <c r="J129" t="str">
        <f>VLOOKUP(H129,'Dati di Supporto'!$G$2:$H$21,2,FALSE)</f>
        <v>CENTRO</v>
      </c>
      <c r="K129">
        <f t="shared" si="1"/>
        <v>84</v>
      </c>
      <c r="L129" t="str">
        <f>_xlfn.IFS(Vendite!F129&lt;'Dati di Supporto'!$O$3,'Dati di Supporto'!$P$2,Vendite!F129&lt;'Dati di Supporto'!$O$4,'Dati di Supporto'!$P$3,Vendite!F129&lt;'Dati di Supporto'!$O$5,'Dati di Supporto'!$P$4,Vendite!F129&lt;'Dati di Supporto'!$O$6,'Dati di Supporto'!$P$5,Vendite!F129&gt;'Dati di Supporto'!$O$6,'Dati di Supporto'!$P$6)</f>
        <v>Fascia 1 (inferiore a 400 €)</v>
      </c>
      <c r="M129" t="str">
        <f>_xlfn.IFS(G129='Dati di Supporto'!$O$10,'Dati di Supporto'!$P$10,Vendite!G129='Dati di Supporto'!$O$11,'Dati di Supporto'!$P$11,Vendite!G129='Dati di Supporto'!$O$12,'Dati di Supporto'!$P$12,Vendite!G129='Dati di Supporto'!$O$13,'Dati di Supporto'!$P$13,Vendite!G129='Dati di Supporto'!$O$14,'Dati di Supporto'!$P$14)</f>
        <v>Carta di credito</v>
      </c>
    </row>
    <row r="130" spans="1:13" x14ac:dyDescent="0.3">
      <c r="A130" s="11">
        <v>129</v>
      </c>
      <c r="B130" s="6">
        <v>41775</v>
      </c>
      <c r="C130" s="1" t="s">
        <v>247</v>
      </c>
      <c r="D130" s="2" t="s">
        <v>106</v>
      </c>
      <c r="E130" s="2" t="s">
        <v>251</v>
      </c>
      <c r="F130" s="3">
        <v>660</v>
      </c>
      <c r="G130" s="15">
        <v>4</v>
      </c>
      <c r="H130" t="str">
        <f>VLOOKUP(D130,'Dati di Supporto'!$B$2:$C$104,2,FALSE)</f>
        <v>Toscana</v>
      </c>
      <c r="I130" t="str">
        <f>VLOOKUP(D130,'Dati di Supporto'!$B$2:$D$104,3,FALSE)</f>
        <v>PO</v>
      </c>
      <c r="J130" t="str">
        <f>VLOOKUP(H130,'Dati di Supporto'!$G$2:$H$21,2,FALSE)</f>
        <v>CENTRO</v>
      </c>
      <c r="K130">
        <f t="shared" si="1"/>
        <v>83</v>
      </c>
      <c r="L130" t="str">
        <f>_xlfn.IFS(Vendite!F130&lt;'Dati di Supporto'!$O$3,'Dati di Supporto'!$P$2,Vendite!F130&lt;'Dati di Supporto'!$O$4,'Dati di Supporto'!$P$3,Vendite!F130&lt;'Dati di Supporto'!$O$5,'Dati di Supporto'!$P$4,Vendite!F130&lt;'Dati di Supporto'!$O$6,'Dati di Supporto'!$P$5,Vendite!F130&gt;'Dati di Supporto'!$O$6,'Dati di Supporto'!$P$6)</f>
        <v>Fascia 2 (da 400 €  a meno di 800 €)</v>
      </c>
      <c r="M130" t="str">
        <f>_xlfn.IFS(G130='Dati di Supporto'!$O$10,'Dati di Supporto'!$P$10,Vendite!G130='Dati di Supporto'!$O$11,'Dati di Supporto'!$P$11,Vendite!G130='Dati di Supporto'!$O$12,'Dati di Supporto'!$P$12,Vendite!G130='Dati di Supporto'!$O$13,'Dati di Supporto'!$P$13,Vendite!G130='Dati di Supporto'!$O$14,'Dati di Supporto'!$P$14)</f>
        <v>Bollettino postale</v>
      </c>
    </row>
    <row r="131" spans="1:13" x14ac:dyDescent="0.3">
      <c r="A131" s="11">
        <v>130</v>
      </c>
      <c r="B131" s="6">
        <v>41800</v>
      </c>
      <c r="C131" s="1" t="s">
        <v>1</v>
      </c>
      <c r="D131" s="2" t="s">
        <v>127</v>
      </c>
      <c r="E131" s="2" t="s">
        <v>11</v>
      </c>
      <c r="F131" s="3">
        <v>31</v>
      </c>
      <c r="G131" s="15">
        <v>2</v>
      </c>
      <c r="H131" t="str">
        <f>VLOOKUP(D131,'Dati di Supporto'!$B$2:$C$104,2,FALSE)</f>
        <v>Friuli-Venezia Giulia</v>
      </c>
      <c r="I131" t="str">
        <f>VLOOKUP(D131,'Dati di Supporto'!$B$2:$D$104,3,FALSE)</f>
        <v>UD</v>
      </c>
      <c r="J131" t="str">
        <f>VLOOKUP(H131,'Dati di Supporto'!$G$2:$H$21,2,FALSE)</f>
        <v>NORD</v>
      </c>
      <c r="K131">
        <f t="shared" ref="K131:K194" si="2">COUNTIF($C$2:$C$501,C131)</f>
        <v>96</v>
      </c>
      <c r="L131" t="str">
        <f>_xlfn.IFS(Vendite!F131&lt;'Dati di Supporto'!$O$3,'Dati di Supporto'!$P$2,Vendite!F131&lt;'Dati di Supporto'!$O$4,'Dati di Supporto'!$P$3,Vendite!F131&lt;'Dati di Supporto'!$O$5,'Dati di Supporto'!$P$4,Vendite!F131&lt;'Dati di Supporto'!$O$6,'Dati di Supporto'!$P$5,Vendite!F131&gt;'Dati di Supporto'!$O$6,'Dati di Supporto'!$P$6)</f>
        <v>Fascia 1 (inferiore a 400 €)</v>
      </c>
      <c r="M131" t="str">
        <f>_xlfn.IFS(G131='Dati di Supporto'!$O$10,'Dati di Supporto'!$P$10,Vendite!G131='Dati di Supporto'!$O$11,'Dati di Supporto'!$P$11,Vendite!G131='Dati di Supporto'!$O$12,'Dati di Supporto'!$P$12,Vendite!G131='Dati di Supporto'!$O$13,'Dati di Supporto'!$P$13,Vendite!G131='Dati di Supporto'!$O$14,'Dati di Supporto'!$P$14)</f>
        <v>Bonifico Bancario</v>
      </c>
    </row>
    <row r="132" spans="1:13" x14ac:dyDescent="0.3">
      <c r="A132" s="11">
        <v>131</v>
      </c>
      <c r="B132" s="6">
        <v>41695</v>
      </c>
      <c r="C132" s="1" t="s">
        <v>3</v>
      </c>
      <c r="D132" s="2" t="s">
        <v>129</v>
      </c>
      <c r="E132" s="2" t="s">
        <v>250</v>
      </c>
      <c r="F132" s="3">
        <v>1889</v>
      </c>
      <c r="G132" s="15">
        <v>4</v>
      </c>
      <c r="H132" t="str">
        <f>VLOOKUP(D132,'Dati di Supporto'!$B$2:$C$104,2,FALSE)</f>
        <v>Veneto</v>
      </c>
      <c r="I132" t="str">
        <f>VLOOKUP(D132,'Dati di Supporto'!$B$2:$D$104,3,FALSE)</f>
        <v>VE</v>
      </c>
      <c r="J132" t="str">
        <f>VLOOKUP(H132,'Dati di Supporto'!$G$2:$H$21,2,FALSE)</f>
        <v>NORD</v>
      </c>
      <c r="K132">
        <f t="shared" si="2"/>
        <v>87</v>
      </c>
      <c r="L132" t="str">
        <f>_xlfn.IFS(Vendite!F132&lt;'Dati di Supporto'!$O$3,'Dati di Supporto'!$P$2,Vendite!F132&lt;'Dati di Supporto'!$O$4,'Dati di Supporto'!$P$3,Vendite!F132&lt;'Dati di Supporto'!$O$5,'Dati di Supporto'!$P$4,Vendite!F132&lt;'Dati di Supporto'!$O$6,'Dati di Supporto'!$P$5,Vendite!F132&gt;'Dati di Supporto'!$O$6,'Dati di Supporto'!$P$6)</f>
        <v>Fascia 5 (da 1500 € e oltre)</v>
      </c>
      <c r="M132" t="str">
        <f>_xlfn.IFS(G132='Dati di Supporto'!$O$10,'Dati di Supporto'!$P$10,Vendite!G132='Dati di Supporto'!$O$11,'Dati di Supporto'!$P$11,Vendite!G132='Dati di Supporto'!$O$12,'Dati di Supporto'!$P$12,Vendite!G132='Dati di Supporto'!$O$13,'Dati di Supporto'!$P$13,Vendite!G132='Dati di Supporto'!$O$14,'Dati di Supporto'!$P$14)</f>
        <v>Bollettino postale</v>
      </c>
    </row>
    <row r="133" spans="1:13" x14ac:dyDescent="0.3">
      <c r="A133" s="11">
        <v>132</v>
      </c>
      <c r="B133" s="6">
        <v>41783</v>
      </c>
      <c r="C133" s="1" t="s">
        <v>247</v>
      </c>
      <c r="D133" s="2" t="s">
        <v>111</v>
      </c>
      <c r="E133" s="2" t="s">
        <v>11</v>
      </c>
      <c r="F133" s="3">
        <v>1163</v>
      </c>
      <c r="G133" s="15">
        <v>1</v>
      </c>
      <c r="H133" t="str">
        <f>VLOOKUP(D133,'Dati di Supporto'!$B$2:$C$104,2,FALSE)</f>
        <v>Lazio</v>
      </c>
      <c r="I133" t="str">
        <f>VLOOKUP(D133,'Dati di Supporto'!$B$2:$D$104,3,FALSE)</f>
        <v>RM</v>
      </c>
      <c r="J133" t="str">
        <f>VLOOKUP(H133,'Dati di Supporto'!$G$2:$H$21,2,FALSE)</f>
        <v>CENTRO</v>
      </c>
      <c r="K133">
        <f t="shared" si="2"/>
        <v>83</v>
      </c>
      <c r="L133" t="str">
        <f>_xlfn.IFS(Vendite!F133&lt;'Dati di Supporto'!$O$3,'Dati di Supporto'!$P$2,Vendite!F133&lt;'Dati di Supporto'!$O$4,'Dati di Supporto'!$P$3,Vendite!F133&lt;'Dati di Supporto'!$O$5,'Dati di Supporto'!$P$4,Vendite!F133&lt;'Dati di Supporto'!$O$6,'Dati di Supporto'!$P$5,Vendite!F133&gt;'Dati di Supporto'!$O$6,'Dati di Supporto'!$P$6)</f>
        <v>Fascia 3 (da 800 €  a meno di 1200 €)</v>
      </c>
      <c r="M133" t="str">
        <f>_xlfn.IFS(G133='Dati di Supporto'!$O$10,'Dati di Supporto'!$P$10,Vendite!G133='Dati di Supporto'!$O$11,'Dati di Supporto'!$P$11,Vendite!G133='Dati di Supporto'!$O$12,'Dati di Supporto'!$P$12,Vendite!G133='Dati di Supporto'!$O$13,'Dati di Supporto'!$P$13,Vendite!G133='Dati di Supporto'!$O$14,'Dati di Supporto'!$P$14)</f>
        <v>Contanti</v>
      </c>
    </row>
    <row r="134" spans="1:13" x14ac:dyDescent="0.3">
      <c r="A134" s="11">
        <v>133</v>
      </c>
      <c r="B134" s="6">
        <v>41798</v>
      </c>
      <c r="C134" s="1" t="s">
        <v>248</v>
      </c>
      <c r="D134" s="2" t="s">
        <v>110</v>
      </c>
      <c r="E134" s="2" t="s">
        <v>252</v>
      </c>
      <c r="F134" s="3">
        <v>1896</v>
      </c>
      <c r="G134" s="15">
        <v>1</v>
      </c>
      <c r="H134" t="str">
        <f>VLOOKUP(D134,'Dati di Supporto'!$B$2:$C$104,2,FALSE)</f>
        <v>Emilia-Romagna</v>
      </c>
      <c r="I134" t="str">
        <f>VLOOKUP(D134,'Dati di Supporto'!$B$2:$D$104,3,FALSE)</f>
        <v>RN</v>
      </c>
      <c r="J134" t="str">
        <f>VLOOKUP(H134,'Dati di Supporto'!$G$2:$H$21,2,FALSE)</f>
        <v>NORD</v>
      </c>
      <c r="K134">
        <f t="shared" si="2"/>
        <v>80</v>
      </c>
      <c r="L134" t="str">
        <f>_xlfn.IFS(Vendite!F134&lt;'Dati di Supporto'!$O$3,'Dati di Supporto'!$P$2,Vendite!F134&lt;'Dati di Supporto'!$O$4,'Dati di Supporto'!$P$3,Vendite!F134&lt;'Dati di Supporto'!$O$5,'Dati di Supporto'!$P$4,Vendite!F134&lt;'Dati di Supporto'!$O$6,'Dati di Supporto'!$P$5,Vendite!F134&gt;'Dati di Supporto'!$O$6,'Dati di Supporto'!$P$6)</f>
        <v>Fascia 5 (da 1500 € e oltre)</v>
      </c>
      <c r="M134" t="str">
        <f>_xlfn.IFS(G134='Dati di Supporto'!$O$10,'Dati di Supporto'!$P$10,Vendite!G134='Dati di Supporto'!$O$11,'Dati di Supporto'!$P$11,Vendite!G134='Dati di Supporto'!$O$12,'Dati di Supporto'!$P$12,Vendite!G134='Dati di Supporto'!$O$13,'Dati di Supporto'!$P$13,Vendite!G134='Dati di Supporto'!$O$14,'Dati di Supporto'!$P$14)</f>
        <v>Contanti</v>
      </c>
    </row>
    <row r="135" spans="1:13" x14ac:dyDescent="0.3">
      <c r="A135" s="11">
        <v>134</v>
      </c>
      <c r="B135" s="6">
        <v>41807</v>
      </c>
      <c r="C135" s="1" t="s">
        <v>3</v>
      </c>
      <c r="D135" s="2" t="s">
        <v>135</v>
      </c>
      <c r="E135" s="2" t="s">
        <v>251</v>
      </c>
      <c r="F135" s="3">
        <v>175</v>
      </c>
      <c r="G135" s="15">
        <v>1</v>
      </c>
      <c r="H135" t="str">
        <f>VLOOKUP(D135,'Dati di Supporto'!$B$2:$C$104,2,FALSE)</f>
        <v>Lazio</v>
      </c>
      <c r="I135" t="str">
        <f>VLOOKUP(D135,'Dati di Supporto'!$B$2:$D$104,3,FALSE)</f>
        <v>VT</v>
      </c>
      <c r="J135" t="str">
        <f>VLOOKUP(H135,'Dati di Supporto'!$G$2:$H$21,2,FALSE)</f>
        <v>CENTRO</v>
      </c>
      <c r="K135">
        <f t="shared" si="2"/>
        <v>87</v>
      </c>
      <c r="L135" t="str">
        <f>_xlfn.IFS(Vendite!F135&lt;'Dati di Supporto'!$O$3,'Dati di Supporto'!$P$2,Vendite!F135&lt;'Dati di Supporto'!$O$4,'Dati di Supporto'!$P$3,Vendite!F135&lt;'Dati di Supporto'!$O$5,'Dati di Supporto'!$P$4,Vendite!F135&lt;'Dati di Supporto'!$O$6,'Dati di Supporto'!$P$5,Vendite!F135&gt;'Dati di Supporto'!$O$6,'Dati di Supporto'!$P$6)</f>
        <v>Fascia 1 (inferiore a 400 €)</v>
      </c>
      <c r="M135" t="str">
        <f>_xlfn.IFS(G135='Dati di Supporto'!$O$10,'Dati di Supporto'!$P$10,Vendite!G135='Dati di Supporto'!$O$11,'Dati di Supporto'!$P$11,Vendite!G135='Dati di Supporto'!$O$12,'Dati di Supporto'!$P$12,Vendite!G135='Dati di Supporto'!$O$13,'Dati di Supporto'!$P$13,Vendite!G135='Dati di Supporto'!$O$14,'Dati di Supporto'!$P$14)</f>
        <v>Contanti</v>
      </c>
    </row>
    <row r="136" spans="1:13" x14ac:dyDescent="0.3">
      <c r="A136" s="11">
        <v>135</v>
      </c>
      <c r="B136" s="6">
        <v>41694</v>
      </c>
      <c r="C136" s="1" t="s">
        <v>247</v>
      </c>
      <c r="D136" s="2" t="s">
        <v>127</v>
      </c>
      <c r="E136" s="2" t="s">
        <v>10</v>
      </c>
      <c r="F136" s="3">
        <v>806</v>
      </c>
      <c r="G136" s="15">
        <v>5</v>
      </c>
      <c r="H136" t="str">
        <f>VLOOKUP(D136,'Dati di Supporto'!$B$2:$C$104,2,FALSE)</f>
        <v>Friuli-Venezia Giulia</v>
      </c>
      <c r="I136" t="str">
        <f>VLOOKUP(D136,'Dati di Supporto'!$B$2:$D$104,3,FALSE)</f>
        <v>UD</v>
      </c>
      <c r="J136" t="str">
        <f>VLOOKUP(H136,'Dati di Supporto'!$G$2:$H$21,2,FALSE)</f>
        <v>NORD</v>
      </c>
      <c r="K136">
        <f t="shared" si="2"/>
        <v>83</v>
      </c>
      <c r="L136" t="str">
        <f>_xlfn.IFS(Vendite!F136&lt;'Dati di Supporto'!$O$3,'Dati di Supporto'!$P$2,Vendite!F136&lt;'Dati di Supporto'!$O$4,'Dati di Supporto'!$P$3,Vendite!F136&lt;'Dati di Supporto'!$O$5,'Dati di Supporto'!$P$4,Vendite!F136&lt;'Dati di Supporto'!$O$6,'Dati di Supporto'!$P$5,Vendite!F136&gt;'Dati di Supporto'!$O$6,'Dati di Supporto'!$P$6)</f>
        <v>Fascia 3 (da 800 €  a meno di 1200 €)</v>
      </c>
      <c r="M136" t="str">
        <f>_xlfn.IFS(G136='Dati di Supporto'!$O$10,'Dati di Supporto'!$P$10,Vendite!G136='Dati di Supporto'!$O$11,'Dati di Supporto'!$P$11,Vendite!G136='Dati di Supporto'!$O$12,'Dati di Supporto'!$P$12,Vendite!G136='Dati di Supporto'!$O$13,'Dati di Supporto'!$P$13,Vendite!G136='Dati di Supporto'!$O$14,'Dati di Supporto'!$P$14)</f>
        <v>Assegno Bancario</v>
      </c>
    </row>
    <row r="137" spans="1:13" x14ac:dyDescent="0.3">
      <c r="A137" s="11">
        <v>136</v>
      </c>
      <c r="B137" s="6">
        <v>41819</v>
      </c>
      <c r="C137" s="1" t="s">
        <v>1</v>
      </c>
      <c r="D137" s="2" t="s">
        <v>98</v>
      </c>
      <c r="E137" s="2" t="s">
        <v>251</v>
      </c>
      <c r="F137" s="3">
        <v>992</v>
      </c>
      <c r="G137" s="15">
        <v>3</v>
      </c>
      <c r="H137" t="str">
        <f>VLOOKUP(D137,'Dati di Supporto'!$B$2:$C$104,2,FALSE)</f>
        <v>Umbria</v>
      </c>
      <c r="I137" t="str">
        <f>VLOOKUP(D137,'Dati di Supporto'!$B$2:$D$104,3,FALSE)</f>
        <v>PG</v>
      </c>
      <c r="J137" t="str">
        <f>VLOOKUP(H137,'Dati di Supporto'!$G$2:$H$21,2,FALSE)</f>
        <v>CENTRO</v>
      </c>
      <c r="K137">
        <f t="shared" si="2"/>
        <v>96</v>
      </c>
      <c r="L137" t="str">
        <f>_xlfn.IFS(Vendite!F137&lt;'Dati di Supporto'!$O$3,'Dati di Supporto'!$P$2,Vendite!F137&lt;'Dati di Supporto'!$O$4,'Dati di Supporto'!$P$3,Vendite!F137&lt;'Dati di Supporto'!$O$5,'Dati di Supporto'!$P$4,Vendite!F137&lt;'Dati di Supporto'!$O$6,'Dati di Supporto'!$P$5,Vendite!F137&gt;'Dati di Supporto'!$O$6,'Dati di Supporto'!$P$6)</f>
        <v>Fascia 3 (da 800 €  a meno di 1200 €)</v>
      </c>
      <c r="M137" t="str">
        <f>_xlfn.IFS(G137='Dati di Supporto'!$O$10,'Dati di Supporto'!$P$10,Vendite!G137='Dati di Supporto'!$O$11,'Dati di Supporto'!$P$11,Vendite!G137='Dati di Supporto'!$O$12,'Dati di Supporto'!$P$12,Vendite!G137='Dati di Supporto'!$O$13,'Dati di Supporto'!$P$13,Vendite!G137='Dati di Supporto'!$O$14,'Dati di Supporto'!$P$14)</f>
        <v>Carta di credito</v>
      </c>
    </row>
    <row r="138" spans="1:13" x14ac:dyDescent="0.3">
      <c r="A138" s="11">
        <v>137</v>
      </c>
      <c r="B138" s="6">
        <v>41647</v>
      </c>
      <c r="C138" s="1" t="s">
        <v>2</v>
      </c>
      <c r="D138" s="2" t="s">
        <v>132</v>
      </c>
      <c r="E138" s="2" t="s">
        <v>11</v>
      </c>
      <c r="F138" s="3">
        <v>885</v>
      </c>
      <c r="G138" s="15">
        <v>2</v>
      </c>
      <c r="H138" t="str">
        <f>VLOOKUP(D138,'Dati di Supporto'!$B$2:$C$104,2,FALSE)</f>
        <v>Veneto</v>
      </c>
      <c r="I138" t="str">
        <f>VLOOKUP(D138,'Dati di Supporto'!$B$2:$D$104,3,FALSE)</f>
        <v>VR</v>
      </c>
      <c r="J138" t="str">
        <f>VLOOKUP(H138,'Dati di Supporto'!$G$2:$H$21,2,FALSE)</f>
        <v>NORD</v>
      </c>
      <c r="K138">
        <f t="shared" si="2"/>
        <v>84</v>
      </c>
      <c r="L138" t="str">
        <f>_xlfn.IFS(Vendite!F138&lt;'Dati di Supporto'!$O$3,'Dati di Supporto'!$P$2,Vendite!F138&lt;'Dati di Supporto'!$O$4,'Dati di Supporto'!$P$3,Vendite!F138&lt;'Dati di Supporto'!$O$5,'Dati di Supporto'!$P$4,Vendite!F138&lt;'Dati di Supporto'!$O$6,'Dati di Supporto'!$P$5,Vendite!F138&gt;'Dati di Supporto'!$O$6,'Dati di Supporto'!$P$6)</f>
        <v>Fascia 3 (da 800 €  a meno di 1200 €)</v>
      </c>
      <c r="M138" t="str">
        <f>_xlfn.IFS(G138='Dati di Supporto'!$O$10,'Dati di Supporto'!$P$10,Vendite!G138='Dati di Supporto'!$O$11,'Dati di Supporto'!$P$11,Vendite!G138='Dati di Supporto'!$O$12,'Dati di Supporto'!$P$12,Vendite!G138='Dati di Supporto'!$O$13,'Dati di Supporto'!$P$13,Vendite!G138='Dati di Supporto'!$O$14,'Dati di Supporto'!$P$14)</f>
        <v>Bonifico Bancario</v>
      </c>
    </row>
    <row r="139" spans="1:13" x14ac:dyDescent="0.3">
      <c r="A139" s="11">
        <v>138</v>
      </c>
      <c r="B139" s="6">
        <v>41681</v>
      </c>
      <c r="C139" s="1" t="s">
        <v>3</v>
      </c>
      <c r="D139" s="2" t="s">
        <v>119</v>
      </c>
      <c r="E139" s="2" t="s">
        <v>10</v>
      </c>
      <c r="F139" s="3">
        <v>502</v>
      </c>
      <c r="G139" s="15">
        <v>2</v>
      </c>
      <c r="H139" t="str">
        <f>VLOOKUP(D139,'Dati di Supporto'!$B$2:$C$104,2,FALSE)</f>
        <v>Puglia</v>
      </c>
      <c r="I139" t="str">
        <f>VLOOKUP(D139,'Dati di Supporto'!$B$2:$D$104,3,FALSE)</f>
        <v>TA</v>
      </c>
      <c r="J139" t="str">
        <f>VLOOKUP(H139,'Dati di Supporto'!$G$2:$H$21,2,FALSE)</f>
        <v>SUD</v>
      </c>
      <c r="K139">
        <f t="shared" si="2"/>
        <v>87</v>
      </c>
      <c r="L139" t="str">
        <f>_xlfn.IFS(Vendite!F139&lt;'Dati di Supporto'!$O$3,'Dati di Supporto'!$P$2,Vendite!F139&lt;'Dati di Supporto'!$O$4,'Dati di Supporto'!$P$3,Vendite!F139&lt;'Dati di Supporto'!$O$5,'Dati di Supporto'!$P$4,Vendite!F139&lt;'Dati di Supporto'!$O$6,'Dati di Supporto'!$P$5,Vendite!F139&gt;'Dati di Supporto'!$O$6,'Dati di Supporto'!$P$6)</f>
        <v>Fascia 2 (da 400 €  a meno di 800 €)</v>
      </c>
      <c r="M139" t="str">
        <f>_xlfn.IFS(G139='Dati di Supporto'!$O$10,'Dati di Supporto'!$P$10,Vendite!G139='Dati di Supporto'!$O$11,'Dati di Supporto'!$P$11,Vendite!G139='Dati di Supporto'!$O$12,'Dati di Supporto'!$P$12,Vendite!G139='Dati di Supporto'!$O$13,'Dati di Supporto'!$P$13,Vendite!G139='Dati di Supporto'!$O$14,'Dati di Supporto'!$P$14)</f>
        <v>Bonifico Bancario</v>
      </c>
    </row>
    <row r="140" spans="1:13" x14ac:dyDescent="0.3">
      <c r="A140" s="11">
        <v>139</v>
      </c>
      <c r="B140" s="6">
        <v>41796</v>
      </c>
      <c r="C140" s="1" t="s">
        <v>8</v>
      </c>
      <c r="D140" s="2" t="s">
        <v>113</v>
      </c>
      <c r="E140" s="2" t="s">
        <v>250</v>
      </c>
      <c r="F140" s="3">
        <v>71</v>
      </c>
      <c r="G140" s="15">
        <v>3</v>
      </c>
      <c r="H140" t="str">
        <f>VLOOKUP(D140,'Dati di Supporto'!$B$2:$C$104,2,FALSE)</f>
        <v>Campania</v>
      </c>
      <c r="I140" t="str">
        <f>VLOOKUP(D140,'Dati di Supporto'!$B$2:$D$104,3,FALSE)</f>
        <v>SA</v>
      </c>
      <c r="J140" t="str">
        <f>VLOOKUP(H140,'Dati di Supporto'!$G$2:$H$21,2,FALSE)</f>
        <v>SUD</v>
      </c>
      <c r="K140">
        <f t="shared" si="2"/>
        <v>70</v>
      </c>
      <c r="L140" t="str">
        <f>_xlfn.IFS(Vendite!F140&lt;'Dati di Supporto'!$O$3,'Dati di Supporto'!$P$2,Vendite!F140&lt;'Dati di Supporto'!$O$4,'Dati di Supporto'!$P$3,Vendite!F140&lt;'Dati di Supporto'!$O$5,'Dati di Supporto'!$P$4,Vendite!F140&lt;'Dati di Supporto'!$O$6,'Dati di Supporto'!$P$5,Vendite!F140&gt;'Dati di Supporto'!$O$6,'Dati di Supporto'!$P$6)</f>
        <v>Fascia 1 (inferiore a 400 €)</v>
      </c>
      <c r="M140" t="str">
        <f>_xlfn.IFS(G140='Dati di Supporto'!$O$10,'Dati di Supporto'!$P$10,Vendite!G140='Dati di Supporto'!$O$11,'Dati di Supporto'!$P$11,Vendite!G140='Dati di Supporto'!$O$12,'Dati di Supporto'!$P$12,Vendite!G140='Dati di Supporto'!$O$13,'Dati di Supporto'!$P$13,Vendite!G140='Dati di Supporto'!$O$14,'Dati di Supporto'!$P$14)</f>
        <v>Carta di credito</v>
      </c>
    </row>
    <row r="141" spans="1:13" x14ac:dyDescent="0.3">
      <c r="A141" s="11">
        <v>140</v>
      </c>
      <c r="B141" s="6">
        <v>41649</v>
      </c>
      <c r="C141" s="1" t="s">
        <v>2</v>
      </c>
      <c r="D141" s="2" t="s">
        <v>118</v>
      </c>
      <c r="E141" s="2" t="s">
        <v>252</v>
      </c>
      <c r="F141" s="3">
        <v>411</v>
      </c>
      <c r="G141" s="15">
        <v>4</v>
      </c>
      <c r="H141" t="str">
        <f>VLOOKUP(D141,'Dati di Supporto'!$B$2:$C$104,2,FALSE)</f>
        <v>Lombardia</v>
      </c>
      <c r="I141" t="str">
        <f>VLOOKUP(D141,'Dati di Supporto'!$B$2:$D$104,3,FALSE)</f>
        <v>SO</v>
      </c>
      <c r="J141" t="str">
        <f>VLOOKUP(H141,'Dati di Supporto'!$G$2:$H$21,2,FALSE)</f>
        <v>NORD</v>
      </c>
      <c r="K141">
        <f t="shared" si="2"/>
        <v>84</v>
      </c>
      <c r="L141" t="str">
        <f>_xlfn.IFS(Vendite!F141&lt;'Dati di Supporto'!$O$3,'Dati di Supporto'!$P$2,Vendite!F141&lt;'Dati di Supporto'!$O$4,'Dati di Supporto'!$P$3,Vendite!F141&lt;'Dati di Supporto'!$O$5,'Dati di Supporto'!$P$4,Vendite!F141&lt;'Dati di Supporto'!$O$6,'Dati di Supporto'!$P$5,Vendite!F141&gt;'Dati di Supporto'!$O$6,'Dati di Supporto'!$P$6)</f>
        <v>Fascia 2 (da 400 €  a meno di 800 €)</v>
      </c>
      <c r="M141" t="str">
        <f>_xlfn.IFS(G141='Dati di Supporto'!$O$10,'Dati di Supporto'!$P$10,Vendite!G141='Dati di Supporto'!$O$11,'Dati di Supporto'!$P$11,Vendite!G141='Dati di Supporto'!$O$12,'Dati di Supporto'!$P$12,Vendite!G141='Dati di Supporto'!$O$13,'Dati di Supporto'!$P$13,Vendite!G141='Dati di Supporto'!$O$14,'Dati di Supporto'!$P$14)</f>
        <v>Bollettino postale</v>
      </c>
    </row>
    <row r="142" spans="1:13" x14ac:dyDescent="0.3">
      <c r="A142" s="11">
        <v>141</v>
      </c>
      <c r="B142" s="6">
        <v>41790</v>
      </c>
      <c r="C142" s="1" t="s">
        <v>3</v>
      </c>
      <c r="D142" s="2" t="s">
        <v>114</v>
      </c>
      <c r="E142" s="2" t="s">
        <v>252</v>
      </c>
      <c r="F142" s="3">
        <v>1343</v>
      </c>
      <c r="G142" s="15">
        <v>2</v>
      </c>
      <c r="H142" t="str">
        <f>VLOOKUP(D142,'Dati di Supporto'!$B$2:$C$104,2,FALSE)</f>
        <v>Sardegna</v>
      </c>
      <c r="I142" t="str">
        <f>VLOOKUP(D142,'Dati di Supporto'!$B$2:$D$104,3,FALSE)</f>
        <v>SS</v>
      </c>
      <c r="J142" t="str">
        <f>VLOOKUP(H142,'Dati di Supporto'!$G$2:$H$21,2,FALSE)</f>
        <v>ISOLE</v>
      </c>
      <c r="K142">
        <f t="shared" si="2"/>
        <v>87</v>
      </c>
      <c r="L142" t="str">
        <f>_xlfn.IFS(Vendite!F142&lt;'Dati di Supporto'!$O$3,'Dati di Supporto'!$P$2,Vendite!F142&lt;'Dati di Supporto'!$O$4,'Dati di Supporto'!$P$3,Vendite!F142&lt;'Dati di Supporto'!$O$5,'Dati di Supporto'!$P$4,Vendite!F142&lt;'Dati di Supporto'!$O$6,'Dati di Supporto'!$P$5,Vendite!F142&gt;'Dati di Supporto'!$O$6,'Dati di Supporto'!$P$6)</f>
        <v>Fascia 4 (da 1200 €  a meno di 1500 €)</v>
      </c>
      <c r="M142" t="str">
        <f>_xlfn.IFS(G142='Dati di Supporto'!$O$10,'Dati di Supporto'!$P$10,Vendite!G142='Dati di Supporto'!$O$11,'Dati di Supporto'!$P$11,Vendite!G142='Dati di Supporto'!$O$12,'Dati di Supporto'!$P$12,Vendite!G142='Dati di Supporto'!$O$13,'Dati di Supporto'!$P$13,Vendite!G142='Dati di Supporto'!$O$14,'Dati di Supporto'!$P$14)</f>
        <v>Bonifico Bancario</v>
      </c>
    </row>
    <row r="143" spans="1:13" x14ac:dyDescent="0.3">
      <c r="A143" s="11">
        <v>142</v>
      </c>
      <c r="B143" s="6">
        <v>41785</v>
      </c>
      <c r="C143" s="1" t="s">
        <v>3</v>
      </c>
      <c r="D143" s="2" t="s">
        <v>120</v>
      </c>
      <c r="E143" s="2" t="s">
        <v>252</v>
      </c>
      <c r="F143" s="3">
        <v>1052</v>
      </c>
      <c r="G143" s="15">
        <v>4</v>
      </c>
      <c r="H143" t="str">
        <f>VLOOKUP(D143,'Dati di Supporto'!$B$2:$C$104,2,FALSE)</f>
        <v>Abruzzo</v>
      </c>
      <c r="I143" t="str">
        <f>VLOOKUP(D143,'Dati di Supporto'!$B$2:$D$104,3,FALSE)</f>
        <v>TE</v>
      </c>
      <c r="J143" t="str">
        <f>VLOOKUP(H143,'Dati di Supporto'!$G$2:$H$21,2,FALSE)</f>
        <v>CENTRO</v>
      </c>
      <c r="K143">
        <f t="shared" si="2"/>
        <v>87</v>
      </c>
      <c r="L143" t="str">
        <f>_xlfn.IFS(Vendite!F143&lt;'Dati di Supporto'!$O$3,'Dati di Supporto'!$P$2,Vendite!F143&lt;'Dati di Supporto'!$O$4,'Dati di Supporto'!$P$3,Vendite!F143&lt;'Dati di Supporto'!$O$5,'Dati di Supporto'!$P$4,Vendite!F143&lt;'Dati di Supporto'!$O$6,'Dati di Supporto'!$P$5,Vendite!F143&gt;'Dati di Supporto'!$O$6,'Dati di Supporto'!$P$6)</f>
        <v>Fascia 3 (da 800 €  a meno di 1200 €)</v>
      </c>
      <c r="M143" t="str">
        <f>_xlfn.IFS(G143='Dati di Supporto'!$O$10,'Dati di Supporto'!$P$10,Vendite!G143='Dati di Supporto'!$O$11,'Dati di Supporto'!$P$11,Vendite!G143='Dati di Supporto'!$O$12,'Dati di Supporto'!$P$12,Vendite!G143='Dati di Supporto'!$O$13,'Dati di Supporto'!$P$13,Vendite!G143='Dati di Supporto'!$O$14,'Dati di Supporto'!$P$14)</f>
        <v>Bollettino postale</v>
      </c>
    </row>
    <row r="144" spans="1:13" x14ac:dyDescent="0.3">
      <c r="A144" s="11">
        <v>143</v>
      </c>
      <c r="B144" s="6">
        <v>41702</v>
      </c>
      <c r="C144" s="1" t="s">
        <v>8</v>
      </c>
      <c r="D144" s="2" t="s">
        <v>134</v>
      </c>
      <c r="E144" s="2" t="s">
        <v>10</v>
      </c>
      <c r="F144" s="3">
        <v>993</v>
      </c>
      <c r="G144" s="15">
        <v>4</v>
      </c>
      <c r="H144" t="str">
        <f>VLOOKUP(D144,'Dati di Supporto'!$B$2:$C$104,2,FALSE)</f>
        <v>Veneto</v>
      </c>
      <c r="I144" t="str">
        <f>VLOOKUP(D144,'Dati di Supporto'!$B$2:$D$104,3,FALSE)</f>
        <v>VI</v>
      </c>
      <c r="J144" t="str">
        <f>VLOOKUP(H144,'Dati di Supporto'!$G$2:$H$21,2,FALSE)</f>
        <v>NORD</v>
      </c>
      <c r="K144">
        <f t="shared" si="2"/>
        <v>70</v>
      </c>
      <c r="L144" t="str">
        <f>_xlfn.IFS(Vendite!F144&lt;'Dati di Supporto'!$O$3,'Dati di Supporto'!$P$2,Vendite!F144&lt;'Dati di Supporto'!$O$4,'Dati di Supporto'!$P$3,Vendite!F144&lt;'Dati di Supporto'!$O$5,'Dati di Supporto'!$P$4,Vendite!F144&lt;'Dati di Supporto'!$O$6,'Dati di Supporto'!$P$5,Vendite!F144&gt;'Dati di Supporto'!$O$6,'Dati di Supporto'!$P$6)</f>
        <v>Fascia 3 (da 800 €  a meno di 1200 €)</v>
      </c>
      <c r="M144" t="str">
        <f>_xlfn.IFS(G144='Dati di Supporto'!$O$10,'Dati di Supporto'!$P$10,Vendite!G144='Dati di Supporto'!$O$11,'Dati di Supporto'!$P$11,Vendite!G144='Dati di Supporto'!$O$12,'Dati di Supporto'!$P$12,Vendite!G144='Dati di Supporto'!$O$13,'Dati di Supporto'!$P$13,Vendite!G144='Dati di Supporto'!$O$14,'Dati di Supporto'!$P$14)</f>
        <v>Bollettino postale</v>
      </c>
    </row>
    <row r="145" spans="1:13" x14ac:dyDescent="0.3">
      <c r="A145" s="11">
        <v>144</v>
      </c>
      <c r="B145" s="6">
        <v>41816</v>
      </c>
      <c r="C145" s="1" t="s">
        <v>247</v>
      </c>
      <c r="D145" s="2" t="s">
        <v>132</v>
      </c>
      <c r="E145" s="2" t="s">
        <v>11</v>
      </c>
      <c r="F145" s="3">
        <v>1404</v>
      </c>
      <c r="G145" s="15">
        <v>3</v>
      </c>
      <c r="H145" t="str">
        <f>VLOOKUP(D145,'Dati di Supporto'!$B$2:$C$104,2,FALSE)</f>
        <v>Veneto</v>
      </c>
      <c r="I145" t="str">
        <f>VLOOKUP(D145,'Dati di Supporto'!$B$2:$D$104,3,FALSE)</f>
        <v>VR</v>
      </c>
      <c r="J145" t="str">
        <f>VLOOKUP(H145,'Dati di Supporto'!$G$2:$H$21,2,FALSE)</f>
        <v>NORD</v>
      </c>
      <c r="K145">
        <f t="shared" si="2"/>
        <v>83</v>
      </c>
      <c r="L145" t="str">
        <f>_xlfn.IFS(Vendite!F145&lt;'Dati di Supporto'!$O$3,'Dati di Supporto'!$P$2,Vendite!F145&lt;'Dati di Supporto'!$O$4,'Dati di Supporto'!$P$3,Vendite!F145&lt;'Dati di Supporto'!$O$5,'Dati di Supporto'!$P$4,Vendite!F145&lt;'Dati di Supporto'!$O$6,'Dati di Supporto'!$P$5,Vendite!F145&gt;'Dati di Supporto'!$O$6,'Dati di Supporto'!$P$6)</f>
        <v>Fascia 4 (da 1200 €  a meno di 1500 €)</v>
      </c>
      <c r="M145" t="str">
        <f>_xlfn.IFS(G145='Dati di Supporto'!$O$10,'Dati di Supporto'!$P$10,Vendite!G145='Dati di Supporto'!$O$11,'Dati di Supporto'!$P$11,Vendite!G145='Dati di Supporto'!$O$12,'Dati di Supporto'!$P$12,Vendite!G145='Dati di Supporto'!$O$13,'Dati di Supporto'!$P$13,Vendite!G145='Dati di Supporto'!$O$14,'Dati di Supporto'!$P$14)</f>
        <v>Carta di credito</v>
      </c>
    </row>
    <row r="146" spans="1:13" x14ac:dyDescent="0.3">
      <c r="A146" s="11">
        <v>145</v>
      </c>
      <c r="B146" s="6">
        <v>41818</v>
      </c>
      <c r="C146" s="1" t="s">
        <v>2</v>
      </c>
      <c r="D146" s="2" t="s">
        <v>111</v>
      </c>
      <c r="E146" s="2" t="s">
        <v>10</v>
      </c>
      <c r="F146" s="3">
        <v>436</v>
      </c>
      <c r="G146" s="15">
        <v>1</v>
      </c>
      <c r="H146" t="str">
        <f>VLOOKUP(D146,'Dati di Supporto'!$B$2:$C$104,2,FALSE)</f>
        <v>Lazio</v>
      </c>
      <c r="I146" t="str">
        <f>VLOOKUP(D146,'Dati di Supporto'!$B$2:$D$104,3,FALSE)</f>
        <v>RM</v>
      </c>
      <c r="J146" t="str">
        <f>VLOOKUP(H146,'Dati di Supporto'!$G$2:$H$21,2,FALSE)</f>
        <v>CENTRO</v>
      </c>
      <c r="K146">
        <f t="shared" si="2"/>
        <v>84</v>
      </c>
      <c r="L146" t="str">
        <f>_xlfn.IFS(Vendite!F146&lt;'Dati di Supporto'!$O$3,'Dati di Supporto'!$P$2,Vendite!F146&lt;'Dati di Supporto'!$O$4,'Dati di Supporto'!$P$3,Vendite!F146&lt;'Dati di Supporto'!$O$5,'Dati di Supporto'!$P$4,Vendite!F146&lt;'Dati di Supporto'!$O$6,'Dati di Supporto'!$P$5,Vendite!F146&gt;'Dati di Supporto'!$O$6,'Dati di Supporto'!$P$6)</f>
        <v>Fascia 2 (da 400 €  a meno di 800 €)</v>
      </c>
      <c r="M146" t="str">
        <f>_xlfn.IFS(G146='Dati di Supporto'!$O$10,'Dati di Supporto'!$P$10,Vendite!G146='Dati di Supporto'!$O$11,'Dati di Supporto'!$P$11,Vendite!G146='Dati di Supporto'!$O$12,'Dati di Supporto'!$P$12,Vendite!G146='Dati di Supporto'!$O$13,'Dati di Supporto'!$P$13,Vendite!G146='Dati di Supporto'!$O$14,'Dati di Supporto'!$P$14)</f>
        <v>Contanti</v>
      </c>
    </row>
    <row r="147" spans="1:13" x14ac:dyDescent="0.3">
      <c r="A147" s="11">
        <v>146</v>
      </c>
      <c r="B147" s="6">
        <v>41701</v>
      </c>
      <c r="C147" s="1" t="s">
        <v>2</v>
      </c>
      <c r="D147" s="2" t="s">
        <v>126</v>
      </c>
      <c r="E147" s="2" t="s">
        <v>11</v>
      </c>
      <c r="F147" s="3">
        <v>771</v>
      </c>
      <c r="G147" s="15">
        <v>2</v>
      </c>
      <c r="H147" t="str">
        <f>VLOOKUP(D147,'Dati di Supporto'!$B$2:$C$104,2,FALSE)</f>
        <v>Friuli-Venezia Giulia</v>
      </c>
      <c r="I147" t="str">
        <f>VLOOKUP(D147,'Dati di Supporto'!$B$2:$D$104,3,FALSE)</f>
        <v>TS</v>
      </c>
      <c r="J147" t="str">
        <f>VLOOKUP(H147,'Dati di Supporto'!$G$2:$H$21,2,FALSE)</f>
        <v>NORD</v>
      </c>
      <c r="K147">
        <f t="shared" si="2"/>
        <v>84</v>
      </c>
      <c r="L147" t="str">
        <f>_xlfn.IFS(Vendite!F147&lt;'Dati di Supporto'!$O$3,'Dati di Supporto'!$P$2,Vendite!F147&lt;'Dati di Supporto'!$O$4,'Dati di Supporto'!$P$3,Vendite!F147&lt;'Dati di Supporto'!$O$5,'Dati di Supporto'!$P$4,Vendite!F147&lt;'Dati di Supporto'!$O$6,'Dati di Supporto'!$P$5,Vendite!F147&gt;'Dati di Supporto'!$O$6,'Dati di Supporto'!$P$6)</f>
        <v>Fascia 2 (da 400 €  a meno di 800 €)</v>
      </c>
      <c r="M147" t="str">
        <f>_xlfn.IFS(G147='Dati di Supporto'!$O$10,'Dati di Supporto'!$P$10,Vendite!G147='Dati di Supporto'!$O$11,'Dati di Supporto'!$P$11,Vendite!G147='Dati di Supporto'!$O$12,'Dati di Supporto'!$P$12,Vendite!G147='Dati di Supporto'!$O$13,'Dati di Supporto'!$P$13,Vendite!G147='Dati di Supporto'!$O$14,'Dati di Supporto'!$P$14)</f>
        <v>Bonifico Bancario</v>
      </c>
    </row>
    <row r="148" spans="1:13" x14ac:dyDescent="0.3">
      <c r="A148" s="11">
        <v>147</v>
      </c>
      <c r="B148" s="6">
        <v>41762</v>
      </c>
      <c r="C148" s="1" t="s">
        <v>248</v>
      </c>
      <c r="D148" s="2" t="s">
        <v>104</v>
      </c>
      <c r="E148" s="2" t="s">
        <v>252</v>
      </c>
      <c r="F148" s="3">
        <v>503</v>
      </c>
      <c r="G148" s="15">
        <v>5</v>
      </c>
      <c r="H148" t="str">
        <f>VLOOKUP(D148,'Dati di Supporto'!$B$2:$C$104,2,FALSE)</f>
        <v>Friuli-Venezia Giulia</v>
      </c>
      <c r="I148" t="str">
        <f>VLOOKUP(D148,'Dati di Supporto'!$B$2:$D$104,3,FALSE)</f>
        <v>PN</v>
      </c>
      <c r="J148" t="str">
        <f>VLOOKUP(H148,'Dati di Supporto'!$G$2:$H$21,2,FALSE)</f>
        <v>NORD</v>
      </c>
      <c r="K148">
        <f t="shared" si="2"/>
        <v>80</v>
      </c>
      <c r="L148" t="str">
        <f>_xlfn.IFS(Vendite!F148&lt;'Dati di Supporto'!$O$3,'Dati di Supporto'!$P$2,Vendite!F148&lt;'Dati di Supporto'!$O$4,'Dati di Supporto'!$P$3,Vendite!F148&lt;'Dati di Supporto'!$O$5,'Dati di Supporto'!$P$4,Vendite!F148&lt;'Dati di Supporto'!$O$6,'Dati di Supporto'!$P$5,Vendite!F148&gt;'Dati di Supporto'!$O$6,'Dati di Supporto'!$P$6)</f>
        <v>Fascia 2 (da 400 €  a meno di 800 €)</v>
      </c>
      <c r="M148" t="str">
        <f>_xlfn.IFS(G148='Dati di Supporto'!$O$10,'Dati di Supporto'!$P$10,Vendite!G148='Dati di Supporto'!$O$11,'Dati di Supporto'!$P$11,Vendite!G148='Dati di Supporto'!$O$12,'Dati di Supporto'!$P$12,Vendite!G148='Dati di Supporto'!$O$13,'Dati di Supporto'!$P$13,Vendite!G148='Dati di Supporto'!$O$14,'Dati di Supporto'!$P$14)</f>
        <v>Assegno Bancario</v>
      </c>
    </row>
    <row r="149" spans="1:13" x14ac:dyDescent="0.3">
      <c r="A149" s="11">
        <v>148</v>
      </c>
      <c r="B149" s="6">
        <v>41725</v>
      </c>
      <c r="C149" s="1" t="s">
        <v>3</v>
      </c>
      <c r="D149" s="2" t="s">
        <v>213</v>
      </c>
      <c r="E149" s="2" t="s">
        <v>10</v>
      </c>
      <c r="F149" s="3">
        <v>1906</v>
      </c>
      <c r="G149" s="15">
        <v>1</v>
      </c>
      <c r="H149" t="str">
        <f>VLOOKUP(D149,'Dati di Supporto'!$B$2:$C$104,2,FALSE)</f>
        <v>Emilia-Romagna</v>
      </c>
      <c r="I149" t="str">
        <f>VLOOKUP(D149,'Dati di Supporto'!$B$2:$D$104,3,FALSE)</f>
        <v>RE</v>
      </c>
      <c r="J149" t="str">
        <f>VLOOKUP(H149,'Dati di Supporto'!$G$2:$H$21,2,FALSE)</f>
        <v>NORD</v>
      </c>
      <c r="K149">
        <f t="shared" si="2"/>
        <v>87</v>
      </c>
      <c r="L149" t="str">
        <f>_xlfn.IFS(Vendite!F149&lt;'Dati di Supporto'!$O$3,'Dati di Supporto'!$P$2,Vendite!F149&lt;'Dati di Supporto'!$O$4,'Dati di Supporto'!$P$3,Vendite!F149&lt;'Dati di Supporto'!$O$5,'Dati di Supporto'!$P$4,Vendite!F149&lt;'Dati di Supporto'!$O$6,'Dati di Supporto'!$P$5,Vendite!F149&gt;'Dati di Supporto'!$O$6,'Dati di Supporto'!$P$6)</f>
        <v>Fascia 5 (da 1500 € e oltre)</v>
      </c>
      <c r="M149" t="str">
        <f>_xlfn.IFS(G149='Dati di Supporto'!$O$10,'Dati di Supporto'!$P$10,Vendite!G149='Dati di Supporto'!$O$11,'Dati di Supporto'!$P$11,Vendite!G149='Dati di Supporto'!$O$12,'Dati di Supporto'!$P$12,Vendite!G149='Dati di Supporto'!$O$13,'Dati di Supporto'!$P$13,Vendite!G149='Dati di Supporto'!$O$14,'Dati di Supporto'!$P$14)</f>
        <v>Contanti</v>
      </c>
    </row>
    <row r="150" spans="1:13" x14ac:dyDescent="0.3">
      <c r="A150" s="11">
        <v>149</v>
      </c>
      <c r="B150" s="6">
        <v>41739</v>
      </c>
      <c r="C150" s="1" t="s">
        <v>2</v>
      </c>
      <c r="D150" s="2" t="s">
        <v>123</v>
      </c>
      <c r="E150" s="2" t="s">
        <v>10</v>
      </c>
      <c r="F150" s="3">
        <v>1213</v>
      </c>
      <c r="G150" s="15">
        <v>3</v>
      </c>
      <c r="H150" t="str">
        <f>VLOOKUP(D150,'Dati di Supporto'!$B$2:$C$104,2,FALSE)</f>
        <v>Sicilia</v>
      </c>
      <c r="I150" t="str">
        <f>VLOOKUP(D150,'Dati di Supporto'!$B$2:$D$104,3,FALSE)</f>
        <v>TP</v>
      </c>
      <c r="J150" t="str">
        <f>VLOOKUP(H150,'Dati di Supporto'!$G$2:$H$21,2,FALSE)</f>
        <v>ISOLE</v>
      </c>
      <c r="K150">
        <f t="shared" si="2"/>
        <v>84</v>
      </c>
      <c r="L150" t="str">
        <f>_xlfn.IFS(Vendite!F150&lt;'Dati di Supporto'!$O$3,'Dati di Supporto'!$P$2,Vendite!F150&lt;'Dati di Supporto'!$O$4,'Dati di Supporto'!$P$3,Vendite!F150&lt;'Dati di Supporto'!$O$5,'Dati di Supporto'!$P$4,Vendite!F150&lt;'Dati di Supporto'!$O$6,'Dati di Supporto'!$P$5,Vendite!F150&gt;'Dati di Supporto'!$O$6,'Dati di Supporto'!$P$6)</f>
        <v>Fascia 4 (da 1200 €  a meno di 1500 €)</v>
      </c>
      <c r="M150" t="str">
        <f>_xlfn.IFS(G150='Dati di Supporto'!$O$10,'Dati di Supporto'!$P$10,Vendite!G150='Dati di Supporto'!$O$11,'Dati di Supporto'!$P$11,Vendite!G150='Dati di Supporto'!$O$12,'Dati di Supporto'!$P$12,Vendite!G150='Dati di Supporto'!$O$13,'Dati di Supporto'!$P$13,Vendite!G150='Dati di Supporto'!$O$14,'Dati di Supporto'!$P$14)</f>
        <v>Carta di credito</v>
      </c>
    </row>
    <row r="151" spans="1:13" x14ac:dyDescent="0.3">
      <c r="A151" s="11">
        <v>150</v>
      </c>
      <c r="B151" s="6">
        <v>41681</v>
      </c>
      <c r="C151" s="1" t="s">
        <v>247</v>
      </c>
      <c r="D151" s="2" t="s">
        <v>116</v>
      </c>
      <c r="E151" s="2" t="s">
        <v>252</v>
      </c>
      <c r="F151" s="3">
        <v>1215</v>
      </c>
      <c r="G151" s="15">
        <v>2</v>
      </c>
      <c r="H151" t="str">
        <f>VLOOKUP(D151,'Dati di Supporto'!$B$2:$C$104,2,FALSE)</f>
        <v>Toscana</v>
      </c>
      <c r="I151" t="str">
        <f>VLOOKUP(D151,'Dati di Supporto'!$B$2:$D$104,3,FALSE)</f>
        <v>SI</v>
      </c>
      <c r="J151" t="str">
        <f>VLOOKUP(H151,'Dati di Supporto'!$G$2:$H$21,2,FALSE)</f>
        <v>CENTRO</v>
      </c>
      <c r="K151">
        <f t="shared" si="2"/>
        <v>83</v>
      </c>
      <c r="L151" t="str">
        <f>_xlfn.IFS(Vendite!F151&lt;'Dati di Supporto'!$O$3,'Dati di Supporto'!$P$2,Vendite!F151&lt;'Dati di Supporto'!$O$4,'Dati di Supporto'!$P$3,Vendite!F151&lt;'Dati di Supporto'!$O$5,'Dati di Supporto'!$P$4,Vendite!F151&lt;'Dati di Supporto'!$O$6,'Dati di Supporto'!$P$5,Vendite!F151&gt;'Dati di Supporto'!$O$6,'Dati di Supporto'!$P$6)</f>
        <v>Fascia 4 (da 1200 €  a meno di 1500 €)</v>
      </c>
      <c r="M151" t="str">
        <f>_xlfn.IFS(G151='Dati di Supporto'!$O$10,'Dati di Supporto'!$P$10,Vendite!G151='Dati di Supporto'!$O$11,'Dati di Supporto'!$P$11,Vendite!G151='Dati di Supporto'!$O$12,'Dati di Supporto'!$P$12,Vendite!G151='Dati di Supporto'!$O$13,'Dati di Supporto'!$P$13,Vendite!G151='Dati di Supporto'!$O$14,'Dati di Supporto'!$P$14)</f>
        <v>Bonifico Bancario</v>
      </c>
    </row>
    <row r="152" spans="1:13" x14ac:dyDescent="0.3">
      <c r="A152" s="11">
        <v>151</v>
      </c>
      <c r="B152" s="6">
        <v>41819</v>
      </c>
      <c r="C152" s="1" t="s">
        <v>3</v>
      </c>
      <c r="D152" s="2" t="s">
        <v>132</v>
      </c>
      <c r="E152" s="2" t="s">
        <v>251</v>
      </c>
      <c r="F152" s="3">
        <v>1186</v>
      </c>
      <c r="G152" s="15">
        <v>1</v>
      </c>
      <c r="H152" t="str">
        <f>VLOOKUP(D152,'Dati di Supporto'!$B$2:$C$104,2,FALSE)</f>
        <v>Veneto</v>
      </c>
      <c r="I152" t="str">
        <f>VLOOKUP(D152,'Dati di Supporto'!$B$2:$D$104,3,FALSE)</f>
        <v>VR</v>
      </c>
      <c r="J152" t="str">
        <f>VLOOKUP(H152,'Dati di Supporto'!$G$2:$H$21,2,FALSE)</f>
        <v>NORD</v>
      </c>
      <c r="K152">
        <f t="shared" si="2"/>
        <v>87</v>
      </c>
      <c r="L152" t="str">
        <f>_xlfn.IFS(Vendite!F152&lt;'Dati di Supporto'!$O$3,'Dati di Supporto'!$P$2,Vendite!F152&lt;'Dati di Supporto'!$O$4,'Dati di Supporto'!$P$3,Vendite!F152&lt;'Dati di Supporto'!$O$5,'Dati di Supporto'!$P$4,Vendite!F152&lt;'Dati di Supporto'!$O$6,'Dati di Supporto'!$P$5,Vendite!F152&gt;'Dati di Supporto'!$O$6,'Dati di Supporto'!$P$6)</f>
        <v>Fascia 3 (da 800 €  a meno di 1200 €)</v>
      </c>
      <c r="M152" t="str">
        <f>_xlfn.IFS(G152='Dati di Supporto'!$O$10,'Dati di Supporto'!$P$10,Vendite!G152='Dati di Supporto'!$O$11,'Dati di Supporto'!$P$11,Vendite!G152='Dati di Supporto'!$O$12,'Dati di Supporto'!$P$12,Vendite!G152='Dati di Supporto'!$O$13,'Dati di Supporto'!$P$13,Vendite!G152='Dati di Supporto'!$O$14,'Dati di Supporto'!$P$14)</f>
        <v>Contanti</v>
      </c>
    </row>
    <row r="153" spans="1:13" x14ac:dyDescent="0.3">
      <c r="A153" s="11">
        <v>152</v>
      </c>
      <c r="B153" s="6">
        <v>41726</v>
      </c>
      <c r="C153" s="1" t="s">
        <v>8</v>
      </c>
      <c r="D153" s="2" t="s">
        <v>107</v>
      </c>
      <c r="E153" s="2" t="s">
        <v>10</v>
      </c>
      <c r="F153" s="3">
        <v>1616</v>
      </c>
      <c r="G153" s="15">
        <v>2</v>
      </c>
      <c r="H153" t="str">
        <f>VLOOKUP(D153,'Dati di Supporto'!$B$2:$C$104,2,FALSE)</f>
        <v>Sicilia</v>
      </c>
      <c r="I153" t="str">
        <f>VLOOKUP(D153,'Dati di Supporto'!$B$2:$D$104,3,FALSE)</f>
        <v>RG</v>
      </c>
      <c r="J153" t="str">
        <f>VLOOKUP(H153,'Dati di Supporto'!$G$2:$H$21,2,FALSE)</f>
        <v>ISOLE</v>
      </c>
      <c r="K153">
        <f t="shared" si="2"/>
        <v>70</v>
      </c>
      <c r="L153" t="str">
        <f>_xlfn.IFS(Vendite!F153&lt;'Dati di Supporto'!$O$3,'Dati di Supporto'!$P$2,Vendite!F153&lt;'Dati di Supporto'!$O$4,'Dati di Supporto'!$P$3,Vendite!F153&lt;'Dati di Supporto'!$O$5,'Dati di Supporto'!$P$4,Vendite!F153&lt;'Dati di Supporto'!$O$6,'Dati di Supporto'!$P$5,Vendite!F153&gt;'Dati di Supporto'!$O$6,'Dati di Supporto'!$P$6)</f>
        <v>Fascia 5 (da 1500 € e oltre)</v>
      </c>
      <c r="M153" t="str">
        <f>_xlfn.IFS(G153='Dati di Supporto'!$O$10,'Dati di Supporto'!$P$10,Vendite!G153='Dati di Supporto'!$O$11,'Dati di Supporto'!$P$11,Vendite!G153='Dati di Supporto'!$O$12,'Dati di Supporto'!$P$12,Vendite!G153='Dati di Supporto'!$O$13,'Dati di Supporto'!$P$13,Vendite!G153='Dati di Supporto'!$O$14,'Dati di Supporto'!$P$14)</f>
        <v>Bonifico Bancario</v>
      </c>
    </row>
    <row r="154" spans="1:13" x14ac:dyDescent="0.3">
      <c r="A154" s="11">
        <v>153</v>
      </c>
      <c r="B154" s="6">
        <v>41734</v>
      </c>
      <c r="C154" s="1" t="s">
        <v>3</v>
      </c>
      <c r="D154" s="2" t="s">
        <v>118</v>
      </c>
      <c r="E154" s="2" t="s">
        <v>11</v>
      </c>
      <c r="F154" s="3">
        <v>1614</v>
      </c>
      <c r="G154" s="15">
        <v>3</v>
      </c>
      <c r="H154" t="str">
        <f>VLOOKUP(D154,'Dati di Supporto'!$B$2:$C$104,2,FALSE)</f>
        <v>Lombardia</v>
      </c>
      <c r="I154" t="str">
        <f>VLOOKUP(D154,'Dati di Supporto'!$B$2:$D$104,3,FALSE)</f>
        <v>SO</v>
      </c>
      <c r="J154" t="str">
        <f>VLOOKUP(H154,'Dati di Supporto'!$G$2:$H$21,2,FALSE)</f>
        <v>NORD</v>
      </c>
      <c r="K154">
        <f t="shared" si="2"/>
        <v>87</v>
      </c>
      <c r="L154" t="str">
        <f>_xlfn.IFS(Vendite!F154&lt;'Dati di Supporto'!$O$3,'Dati di Supporto'!$P$2,Vendite!F154&lt;'Dati di Supporto'!$O$4,'Dati di Supporto'!$P$3,Vendite!F154&lt;'Dati di Supporto'!$O$5,'Dati di Supporto'!$P$4,Vendite!F154&lt;'Dati di Supporto'!$O$6,'Dati di Supporto'!$P$5,Vendite!F154&gt;'Dati di Supporto'!$O$6,'Dati di Supporto'!$P$6)</f>
        <v>Fascia 5 (da 1500 € e oltre)</v>
      </c>
      <c r="M154" t="str">
        <f>_xlfn.IFS(G154='Dati di Supporto'!$O$10,'Dati di Supporto'!$P$10,Vendite!G154='Dati di Supporto'!$O$11,'Dati di Supporto'!$P$11,Vendite!G154='Dati di Supporto'!$O$12,'Dati di Supporto'!$P$12,Vendite!G154='Dati di Supporto'!$O$13,'Dati di Supporto'!$P$13,Vendite!G154='Dati di Supporto'!$O$14,'Dati di Supporto'!$P$14)</f>
        <v>Carta di credito</v>
      </c>
    </row>
    <row r="155" spans="1:13" x14ac:dyDescent="0.3">
      <c r="A155" s="11">
        <v>154</v>
      </c>
      <c r="B155" s="6">
        <v>41652</v>
      </c>
      <c r="C155" s="1" t="s">
        <v>248</v>
      </c>
      <c r="D155" s="2" t="s">
        <v>115</v>
      </c>
      <c r="E155" s="2" t="s">
        <v>10</v>
      </c>
      <c r="F155" s="3">
        <v>744</v>
      </c>
      <c r="G155" s="15">
        <v>5</v>
      </c>
      <c r="H155" t="str">
        <f>VLOOKUP(D155,'Dati di Supporto'!$B$2:$C$104,2,FALSE)</f>
        <v>Liguria</v>
      </c>
      <c r="I155" t="str">
        <f>VLOOKUP(D155,'Dati di Supporto'!$B$2:$D$104,3,FALSE)</f>
        <v>SV</v>
      </c>
      <c r="J155" t="str">
        <f>VLOOKUP(H155,'Dati di Supporto'!$G$2:$H$21,2,FALSE)</f>
        <v>NORD</v>
      </c>
      <c r="K155">
        <f t="shared" si="2"/>
        <v>80</v>
      </c>
      <c r="L155" t="str">
        <f>_xlfn.IFS(Vendite!F155&lt;'Dati di Supporto'!$O$3,'Dati di Supporto'!$P$2,Vendite!F155&lt;'Dati di Supporto'!$O$4,'Dati di Supporto'!$P$3,Vendite!F155&lt;'Dati di Supporto'!$O$5,'Dati di Supporto'!$P$4,Vendite!F155&lt;'Dati di Supporto'!$O$6,'Dati di Supporto'!$P$5,Vendite!F155&gt;'Dati di Supporto'!$O$6,'Dati di Supporto'!$P$6)</f>
        <v>Fascia 2 (da 400 €  a meno di 800 €)</v>
      </c>
      <c r="M155" t="str">
        <f>_xlfn.IFS(G155='Dati di Supporto'!$O$10,'Dati di Supporto'!$P$10,Vendite!G155='Dati di Supporto'!$O$11,'Dati di Supporto'!$P$11,Vendite!G155='Dati di Supporto'!$O$12,'Dati di Supporto'!$P$12,Vendite!G155='Dati di Supporto'!$O$13,'Dati di Supporto'!$P$13,Vendite!G155='Dati di Supporto'!$O$14,'Dati di Supporto'!$P$14)</f>
        <v>Assegno Bancario</v>
      </c>
    </row>
    <row r="156" spans="1:13" x14ac:dyDescent="0.3">
      <c r="A156" s="11">
        <v>155</v>
      </c>
      <c r="B156" s="6">
        <v>41762</v>
      </c>
      <c r="C156" s="1" t="s">
        <v>3</v>
      </c>
      <c r="D156" s="2" t="s">
        <v>128</v>
      </c>
      <c r="E156" s="2" t="s">
        <v>251</v>
      </c>
      <c r="F156" s="3">
        <v>1277</v>
      </c>
      <c r="G156" s="15">
        <v>1</v>
      </c>
      <c r="H156" t="str">
        <f>VLOOKUP(D156,'Dati di Supporto'!$B$2:$C$104,2,FALSE)</f>
        <v>Lombardia</v>
      </c>
      <c r="I156" t="str">
        <f>VLOOKUP(D156,'Dati di Supporto'!$B$2:$D$104,3,FALSE)</f>
        <v>VA</v>
      </c>
      <c r="J156" t="str">
        <f>VLOOKUP(H156,'Dati di Supporto'!$G$2:$H$21,2,FALSE)</f>
        <v>NORD</v>
      </c>
      <c r="K156">
        <f t="shared" si="2"/>
        <v>87</v>
      </c>
      <c r="L156" t="str">
        <f>_xlfn.IFS(Vendite!F156&lt;'Dati di Supporto'!$O$3,'Dati di Supporto'!$P$2,Vendite!F156&lt;'Dati di Supporto'!$O$4,'Dati di Supporto'!$P$3,Vendite!F156&lt;'Dati di Supporto'!$O$5,'Dati di Supporto'!$P$4,Vendite!F156&lt;'Dati di Supporto'!$O$6,'Dati di Supporto'!$P$5,Vendite!F156&gt;'Dati di Supporto'!$O$6,'Dati di Supporto'!$P$6)</f>
        <v>Fascia 4 (da 1200 €  a meno di 1500 €)</v>
      </c>
      <c r="M156" t="str">
        <f>_xlfn.IFS(G156='Dati di Supporto'!$O$10,'Dati di Supporto'!$P$10,Vendite!G156='Dati di Supporto'!$O$11,'Dati di Supporto'!$P$11,Vendite!G156='Dati di Supporto'!$O$12,'Dati di Supporto'!$P$12,Vendite!G156='Dati di Supporto'!$O$13,'Dati di Supporto'!$P$13,Vendite!G156='Dati di Supporto'!$O$14,'Dati di Supporto'!$P$14)</f>
        <v>Contanti</v>
      </c>
    </row>
    <row r="157" spans="1:13" x14ac:dyDescent="0.3">
      <c r="A157" s="11">
        <v>156</v>
      </c>
      <c r="B157" s="6">
        <v>41781</v>
      </c>
      <c r="C157" s="1" t="s">
        <v>248</v>
      </c>
      <c r="D157" s="2" t="s">
        <v>107</v>
      </c>
      <c r="E157" s="2" t="s">
        <v>11</v>
      </c>
      <c r="F157" s="3">
        <v>1520</v>
      </c>
      <c r="G157" s="15">
        <v>3</v>
      </c>
      <c r="H157" t="str">
        <f>VLOOKUP(D157,'Dati di Supporto'!$B$2:$C$104,2,FALSE)</f>
        <v>Sicilia</v>
      </c>
      <c r="I157" t="str">
        <f>VLOOKUP(D157,'Dati di Supporto'!$B$2:$D$104,3,FALSE)</f>
        <v>RG</v>
      </c>
      <c r="J157" t="str">
        <f>VLOOKUP(H157,'Dati di Supporto'!$G$2:$H$21,2,FALSE)</f>
        <v>ISOLE</v>
      </c>
      <c r="K157">
        <f t="shared" si="2"/>
        <v>80</v>
      </c>
      <c r="L157" t="str">
        <f>_xlfn.IFS(Vendite!F157&lt;'Dati di Supporto'!$O$3,'Dati di Supporto'!$P$2,Vendite!F157&lt;'Dati di Supporto'!$O$4,'Dati di Supporto'!$P$3,Vendite!F157&lt;'Dati di Supporto'!$O$5,'Dati di Supporto'!$P$4,Vendite!F157&lt;'Dati di Supporto'!$O$6,'Dati di Supporto'!$P$5,Vendite!F157&gt;'Dati di Supporto'!$O$6,'Dati di Supporto'!$P$6)</f>
        <v>Fascia 5 (da 1500 € e oltre)</v>
      </c>
      <c r="M157" t="str">
        <f>_xlfn.IFS(G157='Dati di Supporto'!$O$10,'Dati di Supporto'!$P$10,Vendite!G157='Dati di Supporto'!$O$11,'Dati di Supporto'!$P$11,Vendite!G157='Dati di Supporto'!$O$12,'Dati di Supporto'!$P$12,Vendite!G157='Dati di Supporto'!$O$13,'Dati di Supporto'!$P$13,Vendite!G157='Dati di Supporto'!$O$14,'Dati di Supporto'!$P$14)</f>
        <v>Carta di credito</v>
      </c>
    </row>
    <row r="158" spans="1:13" x14ac:dyDescent="0.3">
      <c r="A158" s="11">
        <v>157</v>
      </c>
      <c r="B158" s="6">
        <v>41656</v>
      </c>
      <c r="C158" s="1" t="s">
        <v>3</v>
      </c>
      <c r="D158" s="2" t="s">
        <v>125</v>
      </c>
      <c r="E158" s="2" t="s">
        <v>11</v>
      </c>
      <c r="F158" s="3">
        <v>254</v>
      </c>
      <c r="G158" s="15">
        <v>2</v>
      </c>
      <c r="H158" t="str">
        <f>VLOOKUP(D158,'Dati di Supporto'!$B$2:$C$104,2,FALSE)</f>
        <v>Veneto</v>
      </c>
      <c r="I158" t="str">
        <f>VLOOKUP(D158,'Dati di Supporto'!$B$2:$D$104,3,FALSE)</f>
        <v>TV</v>
      </c>
      <c r="J158" t="str">
        <f>VLOOKUP(H158,'Dati di Supporto'!$G$2:$H$21,2,FALSE)</f>
        <v>NORD</v>
      </c>
      <c r="K158">
        <f t="shared" si="2"/>
        <v>87</v>
      </c>
      <c r="L158" t="str">
        <f>_xlfn.IFS(Vendite!F158&lt;'Dati di Supporto'!$O$3,'Dati di Supporto'!$P$2,Vendite!F158&lt;'Dati di Supporto'!$O$4,'Dati di Supporto'!$P$3,Vendite!F158&lt;'Dati di Supporto'!$O$5,'Dati di Supporto'!$P$4,Vendite!F158&lt;'Dati di Supporto'!$O$6,'Dati di Supporto'!$P$5,Vendite!F158&gt;'Dati di Supporto'!$O$6,'Dati di Supporto'!$P$6)</f>
        <v>Fascia 1 (inferiore a 400 €)</v>
      </c>
      <c r="M158" t="str">
        <f>_xlfn.IFS(G158='Dati di Supporto'!$O$10,'Dati di Supporto'!$P$10,Vendite!G158='Dati di Supporto'!$O$11,'Dati di Supporto'!$P$11,Vendite!G158='Dati di Supporto'!$O$12,'Dati di Supporto'!$P$12,Vendite!G158='Dati di Supporto'!$O$13,'Dati di Supporto'!$P$13,Vendite!G158='Dati di Supporto'!$O$14,'Dati di Supporto'!$P$14)</f>
        <v>Bonifico Bancario</v>
      </c>
    </row>
    <row r="159" spans="1:13" x14ac:dyDescent="0.3">
      <c r="A159" s="11">
        <v>158</v>
      </c>
      <c r="B159" s="6">
        <v>41772</v>
      </c>
      <c r="C159" s="1" t="s">
        <v>8</v>
      </c>
      <c r="D159" s="2" t="s">
        <v>113</v>
      </c>
      <c r="E159" s="2" t="s">
        <v>250</v>
      </c>
      <c r="F159" s="3">
        <v>253</v>
      </c>
      <c r="G159" s="15">
        <v>3</v>
      </c>
      <c r="H159" t="str">
        <f>VLOOKUP(D159,'Dati di Supporto'!$B$2:$C$104,2,FALSE)</f>
        <v>Campania</v>
      </c>
      <c r="I159" t="str">
        <f>VLOOKUP(D159,'Dati di Supporto'!$B$2:$D$104,3,FALSE)</f>
        <v>SA</v>
      </c>
      <c r="J159" t="str">
        <f>VLOOKUP(H159,'Dati di Supporto'!$G$2:$H$21,2,FALSE)</f>
        <v>SUD</v>
      </c>
      <c r="K159">
        <f t="shared" si="2"/>
        <v>70</v>
      </c>
      <c r="L159" t="str">
        <f>_xlfn.IFS(Vendite!F159&lt;'Dati di Supporto'!$O$3,'Dati di Supporto'!$P$2,Vendite!F159&lt;'Dati di Supporto'!$O$4,'Dati di Supporto'!$P$3,Vendite!F159&lt;'Dati di Supporto'!$O$5,'Dati di Supporto'!$P$4,Vendite!F159&lt;'Dati di Supporto'!$O$6,'Dati di Supporto'!$P$5,Vendite!F159&gt;'Dati di Supporto'!$O$6,'Dati di Supporto'!$P$6)</f>
        <v>Fascia 1 (inferiore a 400 €)</v>
      </c>
      <c r="M159" t="str">
        <f>_xlfn.IFS(G159='Dati di Supporto'!$O$10,'Dati di Supporto'!$P$10,Vendite!G159='Dati di Supporto'!$O$11,'Dati di Supporto'!$P$11,Vendite!G159='Dati di Supporto'!$O$12,'Dati di Supporto'!$P$12,Vendite!G159='Dati di Supporto'!$O$13,'Dati di Supporto'!$P$13,Vendite!G159='Dati di Supporto'!$O$14,'Dati di Supporto'!$P$14)</f>
        <v>Carta di credito</v>
      </c>
    </row>
    <row r="160" spans="1:13" x14ac:dyDescent="0.3">
      <c r="A160" s="11">
        <v>159</v>
      </c>
      <c r="B160" s="6">
        <v>41800</v>
      </c>
      <c r="C160" s="1" t="s">
        <v>1</v>
      </c>
      <c r="D160" s="2" t="s">
        <v>103</v>
      </c>
      <c r="E160" s="2" t="s">
        <v>250</v>
      </c>
      <c r="F160" s="3">
        <v>1802</v>
      </c>
      <c r="G160" s="15">
        <v>3</v>
      </c>
      <c r="H160" t="str">
        <f>VLOOKUP(D160,'Dati di Supporto'!$B$2:$C$104,2,FALSE)</f>
        <v>Toscana</v>
      </c>
      <c r="I160" t="str">
        <f>VLOOKUP(D160,'Dati di Supporto'!$B$2:$D$104,3,FALSE)</f>
        <v>PT</v>
      </c>
      <c r="J160" t="str">
        <f>VLOOKUP(H160,'Dati di Supporto'!$G$2:$H$21,2,FALSE)</f>
        <v>CENTRO</v>
      </c>
      <c r="K160">
        <f t="shared" si="2"/>
        <v>96</v>
      </c>
      <c r="L160" t="str">
        <f>_xlfn.IFS(Vendite!F160&lt;'Dati di Supporto'!$O$3,'Dati di Supporto'!$P$2,Vendite!F160&lt;'Dati di Supporto'!$O$4,'Dati di Supporto'!$P$3,Vendite!F160&lt;'Dati di Supporto'!$O$5,'Dati di Supporto'!$P$4,Vendite!F160&lt;'Dati di Supporto'!$O$6,'Dati di Supporto'!$P$5,Vendite!F160&gt;'Dati di Supporto'!$O$6,'Dati di Supporto'!$P$6)</f>
        <v>Fascia 5 (da 1500 € e oltre)</v>
      </c>
      <c r="M160" t="str">
        <f>_xlfn.IFS(G160='Dati di Supporto'!$O$10,'Dati di Supporto'!$P$10,Vendite!G160='Dati di Supporto'!$O$11,'Dati di Supporto'!$P$11,Vendite!G160='Dati di Supporto'!$O$12,'Dati di Supporto'!$P$12,Vendite!G160='Dati di Supporto'!$O$13,'Dati di Supporto'!$P$13,Vendite!G160='Dati di Supporto'!$O$14,'Dati di Supporto'!$P$14)</f>
        <v>Carta di credito</v>
      </c>
    </row>
    <row r="161" spans="1:13" x14ac:dyDescent="0.3">
      <c r="A161" s="11">
        <v>160</v>
      </c>
      <c r="B161" s="6">
        <v>41650</v>
      </c>
      <c r="C161" s="1" t="s">
        <v>2</v>
      </c>
      <c r="D161" s="2" t="s">
        <v>131</v>
      </c>
      <c r="E161" s="2" t="s">
        <v>252</v>
      </c>
      <c r="F161" s="3">
        <v>580</v>
      </c>
      <c r="G161" s="15">
        <v>5</v>
      </c>
      <c r="H161" t="str">
        <f>VLOOKUP(D161,'Dati di Supporto'!$B$2:$C$104,2,FALSE)</f>
        <v>Piemonte</v>
      </c>
      <c r="I161" t="str">
        <f>VLOOKUP(D161,'Dati di Supporto'!$B$2:$D$104,3,FALSE)</f>
        <v>VC</v>
      </c>
      <c r="J161" t="str">
        <f>VLOOKUP(H161,'Dati di Supporto'!$G$2:$H$21,2,FALSE)</f>
        <v>NORD</v>
      </c>
      <c r="K161">
        <f t="shared" si="2"/>
        <v>84</v>
      </c>
      <c r="L161" t="str">
        <f>_xlfn.IFS(Vendite!F161&lt;'Dati di Supporto'!$O$3,'Dati di Supporto'!$P$2,Vendite!F161&lt;'Dati di Supporto'!$O$4,'Dati di Supporto'!$P$3,Vendite!F161&lt;'Dati di Supporto'!$O$5,'Dati di Supporto'!$P$4,Vendite!F161&lt;'Dati di Supporto'!$O$6,'Dati di Supporto'!$P$5,Vendite!F161&gt;'Dati di Supporto'!$O$6,'Dati di Supporto'!$P$6)</f>
        <v>Fascia 2 (da 400 €  a meno di 800 €)</v>
      </c>
      <c r="M161" t="str">
        <f>_xlfn.IFS(G161='Dati di Supporto'!$O$10,'Dati di Supporto'!$P$10,Vendite!G161='Dati di Supporto'!$O$11,'Dati di Supporto'!$P$11,Vendite!G161='Dati di Supporto'!$O$12,'Dati di Supporto'!$P$12,Vendite!G161='Dati di Supporto'!$O$13,'Dati di Supporto'!$P$13,Vendite!G161='Dati di Supporto'!$O$14,'Dati di Supporto'!$P$14)</f>
        <v>Assegno Bancario</v>
      </c>
    </row>
    <row r="162" spans="1:13" x14ac:dyDescent="0.3">
      <c r="A162" s="11">
        <v>161</v>
      </c>
      <c r="B162" s="6">
        <v>41778</v>
      </c>
      <c r="C162" s="1" t="s">
        <v>8</v>
      </c>
      <c r="D162" s="2" t="s">
        <v>104</v>
      </c>
      <c r="E162" s="2" t="s">
        <v>11</v>
      </c>
      <c r="F162" s="3">
        <v>938</v>
      </c>
      <c r="G162" s="15">
        <v>5</v>
      </c>
      <c r="H162" t="str">
        <f>VLOOKUP(D162,'Dati di Supporto'!$B$2:$C$104,2,FALSE)</f>
        <v>Friuli-Venezia Giulia</v>
      </c>
      <c r="I162" t="str">
        <f>VLOOKUP(D162,'Dati di Supporto'!$B$2:$D$104,3,FALSE)</f>
        <v>PN</v>
      </c>
      <c r="J162" t="str">
        <f>VLOOKUP(H162,'Dati di Supporto'!$G$2:$H$21,2,FALSE)</f>
        <v>NORD</v>
      </c>
      <c r="K162">
        <f t="shared" si="2"/>
        <v>70</v>
      </c>
      <c r="L162" t="str">
        <f>_xlfn.IFS(Vendite!F162&lt;'Dati di Supporto'!$O$3,'Dati di Supporto'!$P$2,Vendite!F162&lt;'Dati di Supporto'!$O$4,'Dati di Supporto'!$P$3,Vendite!F162&lt;'Dati di Supporto'!$O$5,'Dati di Supporto'!$P$4,Vendite!F162&lt;'Dati di Supporto'!$O$6,'Dati di Supporto'!$P$5,Vendite!F162&gt;'Dati di Supporto'!$O$6,'Dati di Supporto'!$P$6)</f>
        <v>Fascia 3 (da 800 €  a meno di 1200 €)</v>
      </c>
      <c r="M162" t="str">
        <f>_xlfn.IFS(G162='Dati di Supporto'!$O$10,'Dati di Supporto'!$P$10,Vendite!G162='Dati di Supporto'!$O$11,'Dati di Supporto'!$P$11,Vendite!G162='Dati di Supporto'!$O$12,'Dati di Supporto'!$P$12,Vendite!G162='Dati di Supporto'!$O$13,'Dati di Supporto'!$P$13,Vendite!G162='Dati di Supporto'!$O$14,'Dati di Supporto'!$P$14)</f>
        <v>Assegno Bancario</v>
      </c>
    </row>
    <row r="163" spans="1:13" x14ac:dyDescent="0.3">
      <c r="A163" s="11">
        <v>162</v>
      </c>
      <c r="B163" s="6">
        <v>41682</v>
      </c>
      <c r="C163" s="1" t="s">
        <v>248</v>
      </c>
      <c r="D163" s="2" t="s">
        <v>101</v>
      </c>
      <c r="E163" s="2" t="s">
        <v>10</v>
      </c>
      <c r="F163" s="3">
        <v>1390</v>
      </c>
      <c r="G163" s="15">
        <v>4</v>
      </c>
      <c r="H163" t="str">
        <f>VLOOKUP(D163,'Dati di Supporto'!$B$2:$C$104,2,FALSE)</f>
        <v>Emilia-Romagna</v>
      </c>
      <c r="I163" t="str">
        <f>VLOOKUP(D163,'Dati di Supporto'!$B$2:$D$104,3,FALSE)</f>
        <v>PC</v>
      </c>
      <c r="J163" t="str">
        <f>VLOOKUP(H163,'Dati di Supporto'!$G$2:$H$21,2,FALSE)</f>
        <v>NORD</v>
      </c>
      <c r="K163">
        <f t="shared" si="2"/>
        <v>80</v>
      </c>
      <c r="L163" t="str">
        <f>_xlfn.IFS(Vendite!F163&lt;'Dati di Supporto'!$O$3,'Dati di Supporto'!$P$2,Vendite!F163&lt;'Dati di Supporto'!$O$4,'Dati di Supporto'!$P$3,Vendite!F163&lt;'Dati di Supporto'!$O$5,'Dati di Supporto'!$P$4,Vendite!F163&lt;'Dati di Supporto'!$O$6,'Dati di Supporto'!$P$5,Vendite!F163&gt;'Dati di Supporto'!$O$6,'Dati di Supporto'!$P$6)</f>
        <v>Fascia 4 (da 1200 €  a meno di 1500 €)</v>
      </c>
      <c r="M163" t="str">
        <f>_xlfn.IFS(G163='Dati di Supporto'!$O$10,'Dati di Supporto'!$P$10,Vendite!G163='Dati di Supporto'!$O$11,'Dati di Supporto'!$P$11,Vendite!G163='Dati di Supporto'!$O$12,'Dati di Supporto'!$P$12,Vendite!G163='Dati di Supporto'!$O$13,'Dati di Supporto'!$P$13,Vendite!G163='Dati di Supporto'!$O$14,'Dati di Supporto'!$P$14)</f>
        <v>Bollettino postale</v>
      </c>
    </row>
    <row r="164" spans="1:13" x14ac:dyDescent="0.3">
      <c r="A164" s="11">
        <v>163</v>
      </c>
      <c r="B164" s="6">
        <v>41753</v>
      </c>
      <c r="C164" s="1" t="s">
        <v>247</v>
      </c>
      <c r="D164" s="2" t="s">
        <v>211</v>
      </c>
      <c r="E164" s="2" t="s">
        <v>10</v>
      </c>
      <c r="F164" s="3">
        <v>1315</v>
      </c>
      <c r="G164" s="15">
        <v>2</v>
      </c>
      <c r="H164" t="str">
        <f>VLOOKUP(D164,'Dati di Supporto'!$B$2:$C$104,2,FALSE)</f>
        <v>Calabria</v>
      </c>
      <c r="I164" t="str">
        <f>VLOOKUP(D164,'Dati di Supporto'!$B$2:$D$104,3,FALSE)</f>
        <v>RC</v>
      </c>
      <c r="J164" t="str">
        <f>VLOOKUP(H164,'Dati di Supporto'!$G$2:$H$21,2,FALSE)</f>
        <v>SUD</v>
      </c>
      <c r="K164">
        <f t="shared" si="2"/>
        <v>83</v>
      </c>
      <c r="L164" t="str">
        <f>_xlfn.IFS(Vendite!F164&lt;'Dati di Supporto'!$O$3,'Dati di Supporto'!$P$2,Vendite!F164&lt;'Dati di Supporto'!$O$4,'Dati di Supporto'!$P$3,Vendite!F164&lt;'Dati di Supporto'!$O$5,'Dati di Supporto'!$P$4,Vendite!F164&lt;'Dati di Supporto'!$O$6,'Dati di Supporto'!$P$5,Vendite!F164&gt;'Dati di Supporto'!$O$6,'Dati di Supporto'!$P$6)</f>
        <v>Fascia 4 (da 1200 €  a meno di 1500 €)</v>
      </c>
      <c r="M164" t="str">
        <f>_xlfn.IFS(G164='Dati di Supporto'!$O$10,'Dati di Supporto'!$P$10,Vendite!G164='Dati di Supporto'!$O$11,'Dati di Supporto'!$P$11,Vendite!G164='Dati di Supporto'!$O$12,'Dati di Supporto'!$P$12,Vendite!G164='Dati di Supporto'!$O$13,'Dati di Supporto'!$P$13,Vendite!G164='Dati di Supporto'!$O$14,'Dati di Supporto'!$P$14)</f>
        <v>Bonifico Bancario</v>
      </c>
    </row>
    <row r="165" spans="1:13" x14ac:dyDescent="0.3">
      <c r="A165" s="11">
        <v>164</v>
      </c>
      <c r="B165" s="6">
        <v>41819</v>
      </c>
      <c r="C165" s="1" t="s">
        <v>248</v>
      </c>
      <c r="D165" s="2" t="s">
        <v>115</v>
      </c>
      <c r="E165" s="2" t="s">
        <v>252</v>
      </c>
      <c r="F165" s="3">
        <v>1670</v>
      </c>
      <c r="G165" s="15">
        <v>3</v>
      </c>
      <c r="H165" t="str">
        <f>VLOOKUP(D165,'Dati di Supporto'!$B$2:$C$104,2,FALSE)</f>
        <v>Liguria</v>
      </c>
      <c r="I165" t="str">
        <f>VLOOKUP(D165,'Dati di Supporto'!$B$2:$D$104,3,FALSE)</f>
        <v>SV</v>
      </c>
      <c r="J165" t="str">
        <f>VLOOKUP(H165,'Dati di Supporto'!$G$2:$H$21,2,FALSE)</f>
        <v>NORD</v>
      </c>
      <c r="K165">
        <f t="shared" si="2"/>
        <v>80</v>
      </c>
      <c r="L165" t="str">
        <f>_xlfn.IFS(Vendite!F165&lt;'Dati di Supporto'!$O$3,'Dati di Supporto'!$P$2,Vendite!F165&lt;'Dati di Supporto'!$O$4,'Dati di Supporto'!$P$3,Vendite!F165&lt;'Dati di Supporto'!$O$5,'Dati di Supporto'!$P$4,Vendite!F165&lt;'Dati di Supporto'!$O$6,'Dati di Supporto'!$P$5,Vendite!F165&gt;'Dati di Supporto'!$O$6,'Dati di Supporto'!$P$6)</f>
        <v>Fascia 5 (da 1500 € e oltre)</v>
      </c>
      <c r="M165" t="str">
        <f>_xlfn.IFS(G165='Dati di Supporto'!$O$10,'Dati di Supporto'!$P$10,Vendite!G165='Dati di Supporto'!$O$11,'Dati di Supporto'!$P$11,Vendite!G165='Dati di Supporto'!$O$12,'Dati di Supporto'!$P$12,Vendite!G165='Dati di Supporto'!$O$13,'Dati di Supporto'!$P$13,Vendite!G165='Dati di Supporto'!$O$14,'Dati di Supporto'!$P$14)</f>
        <v>Carta di credito</v>
      </c>
    </row>
    <row r="166" spans="1:13" x14ac:dyDescent="0.3">
      <c r="A166" s="11">
        <v>165</v>
      </c>
      <c r="B166" s="6">
        <v>41804</v>
      </c>
      <c r="C166" s="1" t="s">
        <v>248</v>
      </c>
      <c r="D166" s="2" t="s">
        <v>128</v>
      </c>
      <c r="E166" s="2" t="s">
        <v>11</v>
      </c>
      <c r="F166" s="3">
        <v>1691</v>
      </c>
      <c r="G166" s="15">
        <v>3</v>
      </c>
      <c r="H166" t="str">
        <f>VLOOKUP(D166,'Dati di Supporto'!$B$2:$C$104,2,FALSE)</f>
        <v>Lombardia</v>
      </c>
      <c r="I166" t="str">
        <f>VLOOKUP(D166,'Dati di Supporto'!$B$2:$D$104,3,FALSE)</f>
        <v>VA</v>
      </c>
      <c r="J166" t="str">
        <f>VLOOKUP(H166,'Dati di Supporto'!$G$2:$H$21,2,FALSE)</f>
        <v>NORD</v>
      </c>
      <c r="K166">
        <f t="shared" si="2"/>
        <v>80</v>
      </c>
      <c r="L166" t="str">
        <f>_xlfn.IFS(Vendite!F166&lt;'Dati di Supporto'!$O$3,'Dati di Supporto'!$P$2,Vendite!F166&lt;'Dati di Supporto'!$O$4,'Dati di Supporto'!$P$3,Vendite!F166&lt;'Dati di Supporto'!$O$5,'Dati di Supporto'!$P$4,Vendite!F166&lt;'Dati di Supporto'!$O$6,'Dati di Supporto'!$P$5,Vendite!F166&gt;'Dati di Supporto'!$O$6,'Dati di Supporto'!$P$6)</f>
        <v>Fascia 5 (da 1500 € e oltre)</v>
      </c>
      <c r="M166" t="str">
        <f>_xlfn.IFS(G166='Dati di Supporto'!$O$10,'Dati di Supporto'!$P$10,Vendite!G166='Dati di Supporto'!$O$11,'Dati di Supporto'!$P$11,Vendite!G166='Dati di Supporto'!$O$12,'Dati di Supporto'!$P$12,Vendite!G166='Dati di Supporto'!$O$13,'Dati di Supporto'!$P$13,Vendite!G166='Dati di Supporto'!$O$14,'Dati di Supporto'!$P$14)</f>
        <v>Carta di credito</v>
      </c>
    </row>
    <row r="167" spans="1:13" x14ac:dyDescent="0.3">
      <c r="A167" s="11">
        <v>166</v>
      </c>
      <c r="B167" s="6">
        <v>41701</v>
      </c>
      <c r="C167" s="1" t="s">
        <v>8</v>
      </c>
      <c r="D167" s="2" t="s">
        <v>110</v>
      </c>
      <c r="E167" s="2" t="s">
        <v>10</v>
      </c>
      <c r="F167" s="3">
        <v>1313</v>
      </c>
      <c r="G167" s="15">
        <v>3</v>
      </c>
      <c r="H167" t="str">
        <f>VLOOKUP(D167,'Dati di Supporto'!$B$2:$C$104,2,FALSE)</f>
        <v>Emilia-Romagna</v>
      </c>
      <c r="I167" t="str">
        <f>VLOOKUP(D167,'Dati di Supporto'!$B$2:$D$104,3,FALSE)</f>
        <v>RN</v>
      </c>
      <c r="J167" t="str">
        <f>VLOOKUP(H167,'Dati di Supporto'!$G$2:$H$21,2,FALSE)</f>
        <v>NORD</v>
      </c>
      <c r="K167">
        <f t="shared" si="2"/>
        <v>70</v>
      </c>
      <c r="L167" t="str">
        <f>_xlfn.IFS(Vendite!F167&lt;'Dati di Supporto'!$O$3,'Dati di Supporto'!$P$2,Vendite!F167&lt;'Dati di Supporto'!$O$4,'Dati di Supporto'!$P$3,Vendite!F167&lt;'Dati di Supporto'!$O$5,'Dati di Supporto'!$P$4,Vendite!F167&lt;'Dati di Supporto'!$O$6,'Dati di Supporto'!$P$5,Vendite!F167&gt;'Dati di Supporto'!$O$6,'Dati di Supporto'!$P$6)</f>
        <v>Fascia 4 (da 1200 €  a meno di 1500 €)</v>
      </c>
      <c r="M167" t="str">
        <f>_xlfn.IFS(G167='Dati di Supporto'!$O$10,'Dati di Supporto'!$P$10,Vendite!G167='Dati di Supporto'!$O$11,'Dati di Supporto'!$P$11,Vendite!G167='Dati di Supporto'!$O$12,'Dati di Supporto'!$P$12,Vendite!G167='Dati di Supporto'!$O$13,'Dati di Supporto'!$P$13,Vendite!G167='Dati di Supporto'!$O$14,'Dati di Supporto'!$P$14)</f>
        <v>Carta di credito</v>
      </c>
    </row>
    <row r="168" spans="1:13" x14ac:dyDescent="0.3">
      <c r="A168" s="11">
        <v>167</v>
      </c>
      <c r="B168" s="6">
        <v>41799</v>
      </c>
      <c r="C168" s="1" t="s">
        <v>1</v>
      </c>
      <c r="D168" s="2" t="s">
        <v>104</v>
      </c>
      <c r="E168" s="2" t="s">
        <v>10</v>
      </c>
      <c r="F168" s="3">
        <v>789</v>
      </c>
      <c r="G168" s="15">
        <v>4</v>
      </c>
      <c r="H168" t="str">
        <f>VLOOKUP(D168,'Dati di Supporto'!$B$2:$C$104,2,FALSE)</f>
        <v>Friuli-Venezia Giulia</v>
      </c>
      <c r="I168" t="str">
        <f>VLOOKUP(D168,'Dati di Supporto'!$B$2:$D$104,3,FALSE)</f>
        <v>PN</v>
      </c>
      <c r="J168" t="str">
        <f>VLOOKUP(H168,'Dati di Supporto'!$G$2:$H$21,2,FALSE)</f>
        <v>NORD</v>
      </c>
      <c r="K168">
        <f t="shared" si="2"/>
        <v>96</v>
      </c>
      <c r="L168" t="str">
        <f>_xlfn.IFS(Vendite!F168&lt;'Dati di Supporto'!$O$3,'Dati di Supporto'!$P$2,Vendite!F168&lt;'Dati di Supporto'!$O$4,'Dati di Supporto'!$P$3,Vendite!F168&lt;'Dati di Supporto'!$O$5,'Dati di Supporto'!$P$4,Vendite!F168&lt;'Dati di Supporto'!$O$6,'Dati di Supporto'!$P$5,Vendite!F168&gt;'Dati di Supporto'!$O$6,'Dati di Supporto'!$P$6)</f>
        <v>Fascia 2 (da 400 €  a meno di 800 €)</v>
      </c>
      <c r="M168" t="str">
        <f>_xlfn.IFS(G168='Dati di Supporto'!$O$10,'Dati di Supporto'!$P$10,Vendite!G168='Dati di Supporto'!$O$11,'Dati di Supporto'!$P$11,Vendite!G168='Dati di Supporto'!$O$12,'Dati di Supporto'!$P$12,Vendite!G168='Dati di Supporto'!$O$13,'Dati di Supporto'!$P$13,Vendite!G168='Dati di Supporto'!$O$14,'Dati di Supporto'!$P$14)</f>
        <v>Bollettino postale</v>
      </c>
    </row>
    <row r="169" spans="1:13" x14ac:dyDescent="0.3">
      <c r="A169" s="11">
        <v>168</v>
      </c>
      <c r="B169" s="6">
        <v>41700</v>
      </c>
      <c r="C169" s="1" t="s">
        <v>248</v>
      </c>
      <c r="D169" s="2" t="s">
        <v>120</v>
      </c>
      <c r="E169" s="2" t="s">
        <v>252</v>
      </c>
      <c r="F169" s="3">
        <v>135</v>
      </c>
      <c r="G169" s="15">
        <v>5</v>
      </c>
      <c r="H169" t="str">
        <f>VLOOKUP(D169,'Dati di Supporto'!$B$2:$C$104,2,FALSE)</f>
        <v>Abruzzo</v>
      </c>
      <c r="I169" t="str">
        <f>VLOOKUP(D169,'Dati di Supporto'!$B$2:$D$104,3,FALSE)</f>
        <v>TE</v>
      </c>
      <c r="J169" t="str">
        <f>VLOOKUP(H169,'Dati di Supporto'!$G$2:$H$21,2,FALSE)</f>
        <v>CENTRO</v>
      </c>
      <c r="K169">
        <f t="shared" si="2"/>
        <v>80</v>
      </c>
      <c r="L169" t="str">
        <f>_xlfn.IFS(Vendite!F169&lt;'Dati di Supporto'!$O$3,'Dati di Supporto'!$P$2,Vendite!F169&lt;'Dati di Supporto'!$O$4,'Dati di Supporto'!$P$3,Vendite!F169&lt;'Dati di Supporto'!$O$5,'Dati di Supporto'!$P$4,Vendite!F169&lt;'Dati di Supporto'!$O$6,'Dati di Supporto'!$P$5,Vendite!F169&gt;'Dati di Supporto'!$O$6,'Dati di Supporto'!$P$6)</f>
        <v>Fascia 1 (inferiore a 400 €)</v>
      </c>
      <c r="M169" t="str">
        <f>_xlfn.IFS(G169='Dati di Supporto'!$O$10,'Dati di Supporto'!$P$10,Vendite!G169='Dati di Supporto'!$O$11,'Dati di Supporto'!$P$11,Vendite!G169='Dati di Supporto'!$O$12,'Dati di Supporto'!$P$12,Vendite!G169='Dati di Supporto'!$O$13,'Dati di Supporto'!$P$13,Vendite!G169='Dati di Supporto'!$O$14,'Dati di Supporto'!$P$14)</f>
        <v>Assegno Bancario</v>
      </c>
    </row>
    <row r="170" spans="1:13" x14ac:dyDescent="0.3">
      <c r="A170" s="11">
        <v>169</v>
      </c>
      <c r="B170" s="6">
        <v>41676</v>
      </c>
      <c r="C170" s="1" t="s">
        <v>3</v>
      </c>
      <c r="D170" s="2" t="s">
        <v>117</v>
      </c>
      <c r="E170" s="2" t="s">
        <v>251</v>
      </c>
      <c r="F170" s="3">
        <v>1583</v>
      </c>
      <c r="G170" s="15">
        <v>5</v>
      </c>
      <c r="H170" t="str">
        <f>VLOOKUP(D170,'Dati di Supporto'!$B$2:$C$104,2,FALSE)</f>
        <v>Sicilia</v>
      </c>
      <c r="I170" t="str">
        <f>VLOOKUP(D170,'Dati di Supporto'!$B$2:$D$104,3,FALSE)</f>
        <v>SR</v>
      </c>
      <c r="J170" t="str">
        <f>VLOOKUP(H170,'Dati di Supporto'!$G$2:$H$21,2,FALSE)</f>
        <v>ISOLE</v>
      </c>
      <c r="K170">
        <f t="shared" si="2"/>
        <v>87</v>
      </c>
      <c r="L170" t="str">
        <f>_xlfn.IFS(Vendite!F170&lt;'Dati di Supporto'!$O$3,'Dati di Supporto'!$P$2,Vendite!F170&lt;'Dati di Supporto'!$O$4,'Dati di Supporto'!$P$3,Vendite!F170&lt;'Dati di Supporto'!$O$5,'Dati di Supporto'!$P$4,Vendite!F170&lt;'Dati di Supporto'!$O$6,'Dati di Supporto'!$P$5,Vendite!F170&gt;'Dati di Supporto'!$O$6,'Dati di Supporto'!$P$6)</f>
        <v>Fascia 5 (da 1500 € e oltre)</v>
      </c>
      <c r="M170" t="str">
        <f>_xlfn.IFS(G170='Dati di Supporto'!$O$10,'Dati di Supporto'!$P$10,Vendite!G170='Dati di Supporto'!$O$11,'Dati di Supporto'!$P$11,Vendite!G170='Dati di Supporto'!$O$12,'Dati di Supporto'!$P$12,Vendite!G170='Dati di Supporto'!$O$13,'Dati di Supporto'!$P$13,Vendite!G170='Dati di Supporto'!$O$14,'Dati di Supporto'!$P$14)</f>
        <v>Assegno Bancario</v>
      </c>
    </row>
    <row r="171" spans="1:13" x14ac:dyDescent="0.3">
      <c r="A171" s="11">
        <v>170</v>
      </c>
      <c r="B171" s="6">
        <v>41706</v>
      </c>
      <c r="C171" s="1" t="s">
        <v>2</v>
      </c>
      <c r="D171" s="2" t="s">
        <v>128</v>
      </c>
      <c r="E171" s="2" t="s">
        <v>251</v>
      </c>
      <c r="F171" s="3">
        <v>1857</v>
      </c>
      <c r="G171" s="15">
        <v>1</v>
      </c>
      <c r="H171" t="str">
        <f>VLOOKUP(D171,'Dati di Supporto'!$B$2:$C$104,2,FALSE)</f>
        <v>Lombardia</v>
      </c>
      <c r="I171" t="str">
        <f>VLOOKUP(D171,'Dati di Supporto'!$B$2:$D$104,3,FALSE)</f>
        <v>VA</v>
      </c>
      <c r="J171" t="str">
        <f>VLOOKUP(H171,'Dati di Supporto'!$G$2:$H$21,2,FALSE)</f>
        <v>NORD</v>
      </c>
      <c r="K171">
        <f t="shared" si="2"/>
        <v>84</v>
      </c>
      <c r="L171" t="str">
        <f>_xlfn.IFS(Vendite!F171&lt;'Dati di Supporto'!$O$3,'Dati di Supporto'!$P$2,Vendite!F171&lt;'Dati di Supporto'!$O$4,'Dati di Supporto'!$P$3,Vendite!F171&lt;'Dati di Supporto'!$O$5,'Dati di Supporto'!$P$4,Vendite!F171&lt;'Dati di Supporto'!$O$6,'Dati di Supporto'!$P$5,Vendite!F171&gt;'Dati di Supporto'!$O$6,'Dati di Supporto'!$P$6)</f>
        <v>Fascia 5 (da 1500 € e oltre)</v>
      </c>
      <c r="M171" t="str">
        <f>_xlfn.IFS(G171='Dati di Supporto'!$O$10,'Dati di Supporto'!$P$10,Vendite!G171='Dati di Supporto'!$O$11,'Dati di Supporto'!$P$11,Vendite!G171='Dati di Supporto'!$O$12,'Dati di Supporto'!$P$12,Vendite!G171='Dati di Supporto'!$O$13,'Dati di Supporto'!$P$13,Vendite!G171='Dati di Supporto'!$O$14,'Dati di Supporto'!$P$14)</f>
        <v>Contanti</v>
      </c>
    </row>
    <row r="172" spans="1:13" x14ac:dyDescent="0.3">
      <c r="A172" s="11">
        <v>171</v>
      </c>
      <c r="B172" s="6">
        <v>41701</v>
      </c>
      <c r="C172" s="1" t="s">
        <v>8</v>
      </c>
      <c r="D172" s="2" t="s">
        <v>126</v>
      </c>
      <c r="E172" s="2" t="s">
        <v>10</v>
      </c>
      <c r="F172" s="3">
        <v>1655</v>
      </c>
      <c r="G172" s="15">
        <v>3</v>
      </c>
      <c r="H172" t="str">
        <f>VLOOKUP(D172,'Dati di Supporto'!$B$2:$C$104,2,FALSE)</f>
        <v>Friuli-Venezia Giulia</v>
      </c>
      <c r="I172" t="str">
        <f>VLOOKUP(D172,'Dati di Supporto'!$B$2:$D$104,3,FALSE)</f>
        <v>TS</v>
      </c>
      <c r="J172" t="str">
        <f>VLOOKUP(H172,'Dati di Supporto'!$G$2:$H$21,2,FALSE)</f>
        <v>NORD</v>
      </c>
      <c r="K172">
        <f t="shared" si="2"/>
        <v>70</v>
      </c>
      <c r="L172" t="str">
        <f>_xlfn.IFS(Vendite!F172&lt;'Dati di Supporto'!$O$3,'Dati di Supporto'!$P$2,Vendite!F172&lt;'Dati di Supporto'!$O$4,'Dati di Supporto'!$P$3,Vendite!F172&lt;'Dati di Supporto'!$O$5,'Dati di Supporto'!$P$4,Vendite!F172&lt;'Dati di Supporto'!$O$6,'Dati di Supporto'!$P$5,Vendite!F172&gt;'Dati di Supporto'!$O$6,'Dati di Supporto'!$P$6)</f>
        <v>Fascia 5 (da 1500 € e oltre)</v>
      </c>
      <c r="M172" t="str">
        <f>_xlfn.IFS(G172='Dati di Supporto'!$O$10,'Dati di Supporto'!$P$10,Vendite!G172='Dati di Supporto'!$O$11,'Dati di Supporto'!$P$11,Vendite!G172='Dati di Supporto'!$O$12,'Dati di Supporto'!$P$12,Vendite!G172='Dati di Supporto'!$O$13,'Dati di Supporto'!$P$13,Vendite!G172='Dati di Supporto'!$O$14,'Dati di Supporto'!$P$14)</f>
        <v>Carta di credito</v>
      </c>
    </row>
    <row r="173" spans="1:13" x14ac:dyDescent="0.3">
      <c r="A173" s="11">
        <v>172</v>
      </c>
      <c r="B173" s="6">
        <v>41777</v>
      </c>
      <c r="C173" s="1" t="s">
        <v>248</v>
      </c>
      <c r="D173" s="2" t="s">
        <v>132</v>
      </c>
      <c r="E173" s="2" t="s">
        <v>11</v>
      </c>
      <c r="F173" s="3">
        <v>727</v>
      </c>
      <c r="G173" s="15">
        <v>3</v>
      </c>
      <c r="H173" t="str">
        <f>VLOOKUP(D173,'Dati di Supporto'!$B$2:$C$104,2,FALSE)</f>
        <v>Veneto</v>
      </c>
      <c r="I173" t="str">
        <f>VLOOKUP(D173,'Dati di Supporto'!$B$2:$D$104,3,FALSE)</f>
        <v>VR</v>
      </c>
      <c r="J173" t="str">
        <f>VLOOKUP(H173,'Dati di Supporto'!$G$2:$H$21,2,FALSE)</f>
        <v>NORD</v>
      </c>
      <c r="K173">
        <f t="shared" si="2"/>
        <v>80</v>
      </c>
      <c r="L173" t="str">
        <f>_xlfn.IFS(Vendite!F173&lt;'Dati di Supporto'!$O$3,'Dati di Supporto'!$P$2,Vendite!F173&lt;'Dati di Supporto'!$O$4,'Dati di Supporto'!$P$3,Vendite!F173&lt;'Dati di Supporto'!$O$5,'Dati di Supporto'!$P$4,Vendite!F173&lt;'Dati di Supporto'!$O$6,'Dati di Supporto'!$P$5,Vendite!F173&gt;'Dati di Supporto'!$O$6,'Dati di Supporto'!$P$6)</f>
        <v>Fascia 2 (da 400 €  a meno di 800 €)</v>
      </c>
      <c r="M173" t="str">
        <f>_xlfn.IFS(G173='Dati di Supporto'!$O$10,'Dati di Supporto'!$P$10,Vendite!G173='Dati di Supporto'!$O$11,'Dati di Supporto'!$P$11,Vendite!G173='Dati di Supporto'!$O$12,'Dati di Supporto'!$P$12,Vendite!G173='Dati di Supporto'!$O$13,'Dati di Supporto'!$P$13,Vendite!G173='Dati di Supporto'!$O$14,'Dati di Supporto'!$P$14)</f>
        <v>Carta di credito</v>
      </c>
    </row>
    <row r="174" spans="1:13" x14ac:dyDescent="0.3">
      <c r="A174" s="11">
        <v>173</v>
      </c>
      <c r="B174" s="6">
        <v>41697</v>
      </c>
      <c r="C174" s="1" t="s">
        <v>248</v>
      </c>
      <c r="D174" s="2" t="s">
        <v>99</v>
      </c>
      <c r="E174" s="2" t="s">
        <v>11</v>
      </c>
      <c r="F174" s="3">
        <v>1637</v>
      </c>
      <c r="G174" s="15">
        <v>3</v>
      </c>
      <c r="H174" t="str">
        <f>VLOOKUP(D174,'Dati di Supporto'!$B$2:$C$104,2,FALSE)</f>
        <v>Marche</v>
      </c>
      <c r="I174" t="str">
        <f>VLOOKUP(D174,'Dati di Supporto'!$B$2:$D$104,3,FALSE)</f>
        <v>PS</v>
      </c>
      <c r="J174" t="str">
        <f>VLOOKUP(H174,'Dati di Supporto'!$G$2:$H$21,2,FALSE)</f>
        <v>CENTRO</v>
      </c>
      <c r="K174">
        <f t="shared" si="2"/>
        <v>80</v>
      </c>
      <c r="L174" t="str">
        <f>_xlfn.IFS(Vendite!F174&lt;'Dati di Supporto'!$O$3,'Dati di Supporto'!$P$2,Vendite!F174&lt;'Dati di Supporto'!$O$4,'Dati di Supporto'!$P$3,Vendite!F174&lt;'Dati di Supporto'!$O$5,'Dati di Supporto'!$P$4,Vendite!F174&lt;'Dati di Supporto'!$O$6,'Dati di Supporto'!$P$5,Vendite!F174&gt;'Dati di Supporto'!$O$6,'Dati di Supporto'!$P$6)</f>
        <v>Fascia 5 (da 1500 € e oltre)</v>
      </c>
      <c r="M174" t="str">
        <f>_xlfn.IFS(G174='Dati di Supporto'!$O$10,'Dati di Supporto'!$P$10,Vendite!G174='Dati di Supporto'!$O$11,'Dati di Supporto'!$P$11,Vendite!G174='Dati di Supporto'!$O$12,'Dati di Supporto'!$P$12,Vendite!G174='Dati di Supporto'!$O$13,'Dati di Supporto'!$P$13,Vendite!G174='Dati di Supporto'!$O$14,'Dati di Supporto'!$P$14)</f>
        <v>Carta di credito</v>
      </c>
    </row>
    <row r="175" spans="1:13" x14ac:dyDescent="0.3">
      <c r="A175" s="11">
        <v>174</v>
      </c>
      <c r="B175" s="6">
        <v>41796</v>
      </c>
      <c r="C175" s="1" t="s">
        <v>2</v>
      </c>
      <c r="D175" s="2" t="s">
        <v>101</v>
      </c>
      <c r="E175" s="2" t="s">
        <v>10</v>
      </c>
      <c r="F175" s="3">
        <v>456</v>
      </c>
      <c r="G175" s="15">
        <v>5</v>
      </c>
      <c r="H175" t="str">
        <f>VLOOKUP(D175,'Dati di Supporto'!$B$2:$C$104,2,FALSE)</f>
        <v>Emilia-Romagna</v>
      </c>
      <c r="I175" t="str">
        <f>VLOOKUP(D175,'Dati di Supporto'!$B$2:$D$104,3,FALSE)</f>
        <v>PC</v>
      </c>
      <c r="J175" t="str">
        <f>VLOOKUP(H175,'Dati di Supporto'!$G$2:$H$21,2,FALSE)</f>
        <v>NORD</v>
      </c>
      <c r="K175">
        <f t="shared" si="2"/>
        <v>84</v>
      </c>
      <c r="L175" t="str">
        <f>_xlfn.IFS(Vendite!F175&lt;'Dati di Supporto'!$O$3,'Dati di Supporto'!$P$2,Vendite!F175&lt;'Dati di Supporto'!$O$4,'Dati di Supporto'!$P$3,Vendite!F175&lt;'Dati di Supporto'!$O$5,'Dati di Supporto'!$P$4,Vendite!F175&lt;'Dati di Supporto'!$O$6,'Dati di Supporto'!$P$5,Vendite!F175&gt;'Dati di Supporto'!$O$6,'Dati di Supporto'!$P$6)</f>
        <v>Fascia 2 (da 400 €  a meno di 800 €)</v>
      </c>
      <c r="M175" t="str">
        <f>_xlfn.IFS(G175='Dati di Supporto'!$O$10,'Dati di Supporto'!$P$10,Vendite!G175='Dati di Supporto'!$O$11,'Dati di Supporto'!$P$11,Vendite!G175='Dati di Supporto'!$O$12,'Dati di Supporto'!$P$12,Vendite!G175='Dati di Supporto'!$O$13,'Dati di Supporto'!$P$13,Vendite!G175='Dati di Supporto'!$O$14,'Dati di Supporto'!$P$14)</f>
        <v>Assegno Bancario</v>
      </c>
    </row>
    <row r="176" spans="1:13" x14ac:dyDescent="0.3">
      <c r="A176" s="11">
        <v>175</v>
      </c>
      <c r="B176" s="6">
        <v>41708</v>
      </c>
      <c r="C176" s="1" t="s">
        <v>2</v>
      </c>
      <c r="D176" s="2" t="s">
        <v>125</v>
      </c>
      <c r="E176" s="2" t="s">
        <v>11</v>
      </c>
      <c r="F176" s="3">
        <v>1109</v>
      </c>
      <c r="G176" s="15">
        <v>5</v>
      </c>
      <c r="H176" t="str">
        <f>VLOOKUP(D176,'Dati di Supporto'!$B$2:$C$104,2,FALSE)</f>
        <v>Veneto</v>
      </c>
      <c r="I176" t="str">
        <f>VLOOKUP(D176,'Dati di Supporto'!$B$2:$D$104,3,FALSE)</f>
        <v>TV</v>
      </c>
      <c r="J176" t="str">
        <f>VLOOKUP(H176,'Dati di Supporto'!$G$2:$H$21,2,FALSE)</f>
        <v>NORD</v>
      </c>
      <c r="K176">
        <f t="shared" si="2"/>
        <v>84</v>
      </c>
      <c r="L176" t="str">
        <f>_xlfn.IFS(Vendite!F176&lt;'Dati di Supporto'!$O$3,'Dati di Supporto'!$P$2,Vendite!F176&lt;'Dati di Supporto'!$O$4,'Dati di Supporto'!$P$3,Vendite!F176&lt;'Dati di Supporto'!$O$5,'Dati di Supporto'!$P$4,Vendite!F176&lt;'Dati di Supporto'!$O$6,'Dati di Supporto'!$P$5,Vendite!F176&gt;'Dati di Supporto'!$O$6,'Dati di Supporto'!$P$6)</f>
        <v>Fascia 3 (da 800 €  a meno di 1200 €)</v>
      </c>
      <c r="M176" t="str">
        <f>_xlfn.IFS(G176='Dati di Supporto'!$O$10,'Dati di Supporto'!$P$10,Vendite!G176='Dati di Supporto'!$O$11,'Dati di Supporto'!$P$11,Vendite!G176='Dati di Supporto'!$O$12,'Dati di Supporto'!$P$12,Vendite!G176='Dati di Supporto'!$O$13,'Dati di Supporto'!$P$13,Vendite!G176='Dati di Supporto'!$O$14,'Dati di Supporto'!$P$14)</f>
        <v>Assegno Bancario</v>
      </c>
    </row>
    <row r="177" spans="1:13" x14ac:dyDescent="0.3">
      <c r="A177" s="11">
        <v>176</v>
      </c>
      <c r="B177" s="6">
        <v>41818</v>
      </c>
      <c r="C177" s="1" t="s">
        <v>1</v>
      </c>
      <c r="D177" s="2" t="s">
        <v>106</v>
      </c>
      <c r="E177" s="2" t="s">
        <v>11</v>
      </c>
      <c r="F177" s="3">
        <v>1593</v>
      </c>
      <c r="G177" s="15">
        <v>4</v>
      </c>
      <c r="H177" t="str">
        <f>VLOOKUP(D177,'Dati di Supporto'!$B$2:$C$104,2,FALSE)</f>
        <v>Toscana</v>
      </c>
      <c r="I177" t="str">
        <f>VLOOKUP(D177,'Dati di Supporto'!$B$2:$D$104,3,FALSE)</f>
        <v>PO</v>
      </c>
      <c r="J177" t="str">
        <f>VLOOKUP(H177,'Dati di Supporto'!$G$2:$H$21,2,FALSE)</f>
        <v>CENTRO</v>
      </c>
      <c r="K177">
        <f t="shared" si="2"/>
        <v>96</v>
      </c>
      <c r="L177" t="str">
        <f>_xlfn.IFS(Vendite!F177&lt;'Dati di Supporto'!$O$3,'Dati di Supporto'!$P$2,Vendite!F177&lt;'Dati di Supporto'!$O$4,'Dati di Supporto'!$P$3,Vendite!F177&lt;'Dati di Supporto'!$O$5,'Dati di Supporto'!$P$4,Vendite!F177&lt;'Dati di Supporto'!$O$6,'Dati di Supporto'!$P$5,Vendite!F177&gt;'Dati di Supporto'!$O$6,'Dati di Supporto'!$P$6)</f>
        <v>Fascia 5 (da 1500 € e oltre)</v>
      </c>
      <c r="M177" t="str">
        <f>_xlfn.IFS(G177='Dati di Supporto'!$O$10,'Dati di Supporto'!$P$10,Vendite!G177='Dati di Supporto'!$O$11,'Dati di Supporto'!$P$11,Vendite!G177='Dati di Supporto'!$O$12,'Dati di Supporto'!$P$12,Vendite!G177='Dati di Supporto'!$O$13,'Dati di Supporto'!$P$13,Vendite!G177='Dati di Supporto'!$O$14,'Dati di Supporto'!$P$14)</f>
        <v>Bollettino postale</v>
      </c>
    </row>
    <row r="178" spans="1:13" x14ac:dyDescent="0.3">
      <c r="A178" s="11">
        <v>177</v>
      </c>
      <c r="B178" s="6">
        <v>41786</v>
      </c>
      <c r="C178" s="1" t="s">
        <v>248</v>
      </c>
      <c r="D178" s="2" t="s">
        <v>112</v>
      </c>
      <c r="E178" s="2" t="s">
        <v>11</v>
      </c>
      <c r="F178" s="3">
        <v>686</v>
      </c>
      <c r="G178" s="15">
        <v>1</v>
      </c>
      <c r="H178" t="str">
        <f>VLOOKUP(D178,'Dati di Supporto'!$B$2:$C$104,2,FALSE)</f>
        <v>Veneto</v>
      </c>
      <c r="I178" t="str">
        <f>VLOOKUP(D178,'Dati di Supporto'!$B$2:$D$104,3,FALSE)</f>
        <v>RO</v>
      </c>
      <c r="J178" t="str">
        <f>VLOOKUP(H178,'Dati di Supporto'!$G$2:$H$21,2,FALSE)</f>
        <v>NORD</v>
      </c>
      <c r="K178">
        <f t="shared" si="2"/>
        <v>80</v>
      </c>
      <c r="L178" t="str">
        <f>_xlfn.IFS(Vendite!F178&lt;'Dati di Supporto'!$O$3,'Dati di Supporto'!$P$2,Vendite!F178&lt;'Dati di Supporto'!$O$4,'Dati di Supporto'!$P$3,Vendite!F178&lt;'Dati di Supporto'!$O$5,'Dati di Supporto'!$P$4,Vendite!F178&lt;'Dati di Supporto'!$O$6,'Dati di Supporto'!$P$5,Vendite!F178&gt;'Dati di Supporto'!$O$6,'Dati di Supporto'!$P$6)</f>
        <v>Fascia 2 (da 400 €  a meno di 800 €)</v>
      </c>
      <c r="M178" t="str">
        <f>_xlfn.IFS(G178='Dati di Supporto'!$O$10,'Dati di Supporto'!$P$10,Vendite!G178='Dati di Supporto'!$O$11,'Dati di Supporto'!$P$11,Vendite!G178='Dati di Supporto'!$O$12,'Dati di Supporto'!$P$12,Vendite!G178='Dati di Supporto'!$O$13,'Dati di Supporto'!$P$13,Vendite!G178='Dati di Supporto'!$O$14,'Dati di Supporto'!$P$14)</f>
        <v>Contanti</v>
      </c>
    </row>
    <row r="179" spans="1:13" x14ac:dyDescent="0.3">
      <c r="A179" s="11">
        <v>178</v>
      </c>
      <c r="B179" s="6">
        <v>41753</v>
      </c>
      <c r="C179" s="1" t="s">
        <v>247</v>
      </c>
      <c r="D179" s="2" t="s">
        <v>116</v>
      </c>
      <c r="E179" s="2" t="s">
        <v>252</v>
      </c>
      <c r="F179" s="3">
        <v>155</v>
      </c>
      <c r="G179" s="15">
        <v>4</v>
      </c>
      <c r="H179" t="str">
        <f>VLOOKUP(D179,'Dati di Supporto'!$B$2:$C$104,2,FALSE)</f>
        <v>Toscana</v>
      </c>
      <c r="I179" t="str">
        <f>VLOOKUP(D179,'Dati di Supporto'!$B$2:$D$104,3,FALSE)</f>
        <v>SI</v>
      </c>
      <c r="J179" t="str">
        <f>VLOOKUP(H179,'Dati di Supporto'!$G$2:$H$21,2,FALSE)</f>
        <v>CENTRO</v>
      </c>
      <c r="K179">
        <f t="shared" si="2"/>
        <v>83</v>
      </c>
      <c r="L179" t="str">
        <f>_xlfn.IFS(Vendite!F179&lt;'Dati di Supporto'!$O$3,'Dati di Supporto'!$P$2,Vendite!F179&lt;'Dati di Supporto'!$O$4,'Dati di Supporto'!$P$3,Vendite!F179&lt;'Dati di Supporto'!$O$5,'Dati di Supporto'!$P$4,Vendite!F179&lt;'Dati di Supporto'!$O$6,'Dati di Supporto'!$P$5,Vendite!F179&gt;'Dati di Supporto'!$O$6,'Dati di Supporto'!$P$6)</f>
        <v>Fascia 1 (inferiore a 400 €)</v>
      </c>
      <c r="M179" t="str">
        <f>_xlfn.IFS(G179='Dati di Supporto'!$O$10,'Dati di Supporto'!$P$10,Vendite!G179='Dati di Supporto'!$O$11,'Dati di Supporto'!$P$11,Vendite!G179='Dati di Supporto'!$O$12,'Dati di Supporto'!$P$12,Vendite!G179='Dati di Supporto'!$O$13,'Dati di Supporto'!$P$13,Vendite!G179='Dati di Supporto'!$O$14,'Dati di Supporto'!$P$14)</f>
        <v>Bollettino postale</v>
      </c>
    </row>
    <row r="180" spans="1:13" x14ac:dyDescent="0.3">
      <c r="A180" s="11">
        <v>179</v>
      </c>
      <c r="B180" s="6">
        <v>41685</v>
      </c>
      <c r="C180" s="1" t="s">
        <v>3</v>
      </c>
      <c r="D180" s="2" t="s">
        <v>117</v>
      </c>
      <c r="E180" s="2" t="s">
        <v>251</v>
      </c>
      <c r="F180" s="3">
        <v>686</v>
      </c>
      <c r="G180" s="15">
        <v>2</v>
      </c>
      <c r="H180" t="str">
        <f>VLOOKUP(D180,'Dati di Supporto'!$B$2:$C$104,2,FALSE)</f>
        <v>Sicilia</v>
      </c>
      <c r="I180" t="str">
        <f>VLOOKUP(D180,'Dati di Supporto'!$B$2:$D$104,3,FALSE)</f>
        <v>SR</v>
      </c>
      <c r="J180" t="str">
        <f>VLOOKUP(H180,'Dati di Supporto'!$G$2:$H$21,2,FALSE)</f>
        <v>ISOLE</v>
      </c>
      <c r="K180">
        <f t="shared" si="2"/>
        <v>87</v>
      </c>
      <c r="L180" t="str">
        <f>_xlfn.IFS(Vendite!F180&lt;'Dati di Supporto'!$O$3,'Dati di Supporto'!$P$2,Vendite!F180&lt;'Dati di Supporto'!$O$4,'Dati di Supporto'!$P$3,Vendite!F180&lt;'Dati di Supporto'!$O$5,'Dati di Supporto'!$P$4,Vendite!F180&lt;'Dati di Supporto'!$O$6,'Dati di Supporto'!$P$5,Vendite!F180&gt;'Dati di Supporto'!$O$6,'Dati di Supporto'!$P$6)</f>
        <v>Fascia 2 (da 400 €  a meno di 800 €)</v>
      </c>
      <c r="M180" t="str">
        <f>_xlfn.IFS(G180='Dati di Supporto'!$O$10,'Dati di Supporto'!$P$10,Vendite!G180='Dati di Supporto'!$O$11,'Dati di Supporto'!$P$11,Vendite!G180='Dati di Supporto'!$O$12,'Dati di Supporto'!$P$12,Vendite!G180='Dati di Supporto'!$O$13,'Dati di Supporto'!$P$13,Vendite!G180='Dati di Supporto'!$O$14,'Dati di Supporto'!$P$14)</f>
        <v>Bonifico Bancario</v>
      </c>
    </row>
    <row r="181" spans="1:13" x14ac:dyDescent="0.3">
      <c r="A181" s="11">
        <v>180</v>
      </c>
      <c r="B181" s="6">
        <v>41743</v>
      </c>
      <c r="C181" s="1" t="s">
        <v>3</v>
      </c>
      <c r="D181" s="2" t="s">
        <v>105</v>
      </c>
      <c r="E181" s="2" t="s">
        <v>251</v>
      </c>
      <c r="F181" s="3">
        <v>450</v>
      </c>
      <c r="G181" s="15">
        <v>1</v>
      </c>
      <c r="H181" t="str">
        <f>VLOOKUP(D181,'Dati di Supporto'!$B$2:$C$104,2,FALSE)</f>
        <v>Basilicata</v>
      </c>
      <c r="I181" t="str">
        <f>VLOOKUP(D181,'Dati di Supporto'!$B$2:$D$104,3,FALSE)</f>
        <v>PZ</v>
      </c>
      <c r="J181" t="str">
        <f>VLOOKUP(H181,'Dati di Supporto'!$G$2:$H$21,2,FALSE)</f>
        <v>SUD</v>
      </c>
      <c r="K181">
        <f t="shared" si="2"/>
        <v>87</v>
      </c>
      <c r="L181" t="str">
        <f>_xlfn.IFS(Vendite!F181&lt;'Dati di Supporto'!$O$3,'Dati di Supporto'!$P$2,Vendite!F181&lt;'Dati di Supporto'!$O$4,'Dati di Supporto'!$P$3,Vendite!F181&lt;'Dati di Supporto'!$O$5,'Dati di Supporto'!$P$4,Vendite!F181&lt;'Dati di Supporto'!$O$6,'Dati di Supporto'!$P$5,Vendite!F181&gt;'Dati di Supporto'!$O$6,'Dati di Supporto'!$P$6)</f>
        <v>Fascia 2 (da 400 €  a meno di 800 €)</v>
      </c>
      <c r="M181" t="str">
        <f>_xlfn.IFS(G181='Dati di Supporto'!$O$10,'Dati di Supporto'!$P$10,Vendite!G181='Dati di Supporto'!$O$11,'Dati di Supporto'!$P$11,Vendite!G181='Dati di Supporto'!$O$12,'Dati di Supporto'!$P$12,Vendite!G181='Dati di Supporto'!$O$13,'Dati di Supporto'!$P$13,Vendite!G181='Dati di Supporto'!$O$14,'Dati di Supporto'!$P$14)</f>
        <v>Contanti</v>
      </c>
    </row>
    <row r="182" spans="1:13" x14ac:dyDescent="0.3">
      <c r="A182" s="11">
        <v>181</v>
      </c>
      <c r="B182" s="6">
        <v>41805</v>
      </c>
      <c r="C182" s="1" t="s">
        <v>8</v>
      </c>
      <c r="D182" s="2" t="s">
        <v>122</v>
      </c>
      <c r="E182" s="2" t="s">
        <v>11</v>
      </c>
      <c r="F182" s="3">
        <v>478</v>
      </c>
      <c r="G182" s="15">
        <v>4</v>
      </c>
      <c r="H182" t="str">
        <f>VLOOKUP(D182,'Dati di Supporto'!$B$2:$C$104,2,FALSE)</f>
        <v>Piemonte</v>
      </c>
      <c r="I182" t="str">
        <f>VLOOKUP(D182,'Dati di Supporto'!$B$2:$D$104,3,FALSE)</f>
        <v>TO</v>
      </c>
      <c r="J182" t="str">
        <f>VLOOKUP(H182,'Dati di Supporto'!$G$2:$H$21,2,FALSE)</f>
        <v>NORD</v>
      </c>
      <c r="K182">
        <f t="shared" si="2"/>
        <v>70</v>
      </c>
      <c r="L182" t="str">
        <f>_xlfn.IFS(Vendite!F182&lt;'Dati di Supporto'!$O$3,'Dati di Supporto'!$P$2,Vendite!F182&lt;'Dati di Supporto'!$O$4,'Dati di Supporto'!$P$3,Vendite!F182&lt;'Dati di Supporto'!$O$5,'Dati di Supporto'!$P$4,Vendite!F182&lt;'Dati di Supporto'!$O$6,'Dati di Supporto'!$P$5,Vendite!F182&gt;'Dati di Supporto'!$O$6,'Dati di Supporto'!$P$6)</f>
        <v>Fascia 2 (da 400 €  a meno di 800 €)</v>
      </c>
      <c r="M182" t="str">
        <f>_xlfn.IFS(G182='Dati di Supporto'!$O$10,'Dati di Supporto'!$P$10,Vendite!G182='Dati di Supporto'!$O$11,'Dati di Supporto'!$P$11,Vendite!G182='Dati di Supporto'!$O$12,'Dati di Supporto'!$P$12,Vendite!G182='Dati di Supporto'!$O$13,'Dati di Supporto'!$P$13,Vendite!G182='Dati di Supporto'!$O$14,'Dati di Supporto'!$P$14)</f>
        <v>Bollettino postale</v>
      </c>
    </row>
    <row r="183" spans="1:13" x14ac:dyDescent="0.3">
      <c r="A183" s="11">
        <v>182</v>
      </c>
      <c r="B183" s="6">
        <v>41704</v>
      </c>
      <c r="C183" s="1" t="s">
        <v>247</v>
      </c>
      <c r="D183" s="2" t="s">
        <v>114</v>
      </c>
      <c r="E183" s="2" t="s">
        <v>11</v>
      </c>
      <c r="F183" s="3">
        <v>939</v>
      </c>
      <c r="G183" s="15">
        <v>5</v>
      </c>
      <c r="H183" t="str">
        <f>VLOOKUP(D183,'Dati di Supporto'!$B$2:$C$104,2,FALSE)</f>
        <v>Sardegna</v>
      </c>
      <c r="I183" t="str">
        <f>VLOOKUP(D183,'Dati di Supporto'!$B$2:$D$104,3,FALSE)</f>
        <v>SS</v>
      </c>
      <c r="J183" t="str">
        <f>VLOOKUP(H183,'Dati di Supporto'!$G$2:$H$21,2,FALSE)</f>
        <v>ISOLE</v>
      </c>
      <c r="K183">
        <f t="shared" si="2"/>
        <v>83</v>
      </c>
      <c r="L183" t="str">
        <f>_xlfn.IFS(Vendite!F183&lt;'Dati di Supporto'!$O$3,'Dati di Supporto'!$P$2,Vendite!F183&lt;'Dati di Supporto'!$O$4,'Dati di Supporto'!$P$3,Vendite!F183&lt;'Dati di Supporto'!$O$5,'Dati di Supporto'!$P$4,Vendite!F183&lt;'Dati di Supporto'!$O$6,'Dati di Supporto'!$P$5,Vendite!F183&gt;'Dati di Supporto'!$O$6,'Dati di Supporto'!$P$6)</f>
        <v>Fascia 3 (da 800 €  a meno di 1200 €)</v>
      </c>
      <c r="M183" t="str">
        <f>_xlfn.IFS(G183='Dati di Supporto'!$O$10,'Dati di Supporto'!$P$10,Vendite!G183='Dati di Supporto'!$O$11,'Dati di Supporto'!$P$11,Vendite!G183='Dati di Supporto'!$O$12,'Dati di Supporto'!$P$12,Vendite!G183='Dati di Supporto'!$O$13,'Dati di Supporto'!$P$13,Vendite!G183='Dati di Supporto'!$O$14,'Dati di Supporto'!$P$14)</f>
        <v>Assegno Bancario</v>
      </c>
    </row>
    <row r="184" spans="1:13" x14ac:dyDescent="0.3">
      <c r="A184" s="11">
        <v>183</v>
      </c>
      <c r="B184" s="6">
        <v>41686</v>
      </c>
      <c r="C184" s="1" t="s">
        <v>248</v>
      </c>
      <c r="D184" s="2" t="s">
        <v>211</v>
      </c>
      <c r="E184" s="2" t="s">
        <v>251</v>
      </c>
      <c r="F184" s="3">
        <v>1608</v>
      </c>
      <c r="G184" s="15">
        <v>2</v>
      </c>
      <c r="H184" t="str">
        <f>VLOOKUP(D184,'Dati di Supporto'!$B$2:$C$104,2,FALSE)</f>
        <v>Calabria</v>
      </c>
      <c r="I184" t="str">
        <f>VLOOKUP(D184,'Dati di Supporto'!$B$2:$D$104,3,FALSE)</f>
        <v>RC</v>
      </c>
      <c r="J184" t="str">
        <f>VLOOKUP(H184,'Dati di Supporto'!$G$2:$H$21,2,FALSE)</f>
        <v>SUD</v>
      </c>
      <c r="K184">
        <f t="shared" si="2"/>
        <v>80</v>
      </c>
      <c r="L184" t="str">
        <f>_xlfn.IFS(Vendite!F184&lt;'Dati di Supporto'!$O$3,'Dati di Supporto'!$P$2,Vendite!F184&lt;'Dati di Supporto'!$O$4,'Dati di Supporto'!$P$3,Vendite!F184&lt;'Dati di Supporto'!$O$5,'Dati di Supporto'!$P$4,Vendite!F184&lt;'Dati di Supporto'!$O$6,'Dati di Supporto'!$P$5,Vendite!F184&gt;'Dati di Supporto'!$O$6,'Dati di Supporto'!$P$6)</f>
        <v>Fascia 5 (da 1500 € e oltre)</v>
      </c>
      <c r="M184" t="str">
        <f>_xlfn.IFS(G184='Dati di Supporto'!$O$10,'Dati di Supporto'!$P$10,Vendite!G184='Dati di Supporto'!$O$11,'Dati di Supporto'!$P$11,Vendite!G184='Dati di Supporto'!$O$12,'Dati di Supporto'!$P$12,Vendite!G184='Dati di Supporto'!$O$13,'Dati di Supporto'!$P$13,Vendite!G184='Dati di Supporto'!$O$14,'Dati di Supporto'!$P$14)</f>
        <v>Bonifico Bancario</v>
      </c>
    </row>
    <row r="185" spans="1:13" x14ac:dyDescent="0.3">
      <c r="A185" s="11">
        <v>184</v>
      </c>
      <c r="B185" s="6">
        <v>41649</v>
      </c>
      <c r="C185" s="1" t="s">
        <v>247</v>
      </c>
      <c r="D185" s="2" t="s">
        <v>128</v>
      </c>
      <c r="E185" s="2" t="s">
        <v>252</v>
      </c>
      <c r="F185" s="3">
        <v>1791</v>
      </c>
      <c r="G185" s="15">
        <v>2</v>
      </c>
      <c r="H185" t="str">
        <f>VLOOKUP(D185,'Dati di Supporto'!$B$2:$C$104,2,FALSE)</f>
        <v>Lombardia</v>
      </c>
      <c r="I185" t="str">
        <f>VLOOKUP(D185,'Dati di Supporto'!$B$2:$D$104,3,FALSE)</f>
        <v>VA</v>
      </c>
      <c r="J185" t="str">
        <f>VLOOKUP(H185,'Dati di Supporto'!$G$2:$H$21,2,FALSE)</f>
        <v>NORD</v>
      </c>
      <c r="K185">
        <f t="shared" si="2"/>
        <v>83</v>
      </c>
      <c r="L185" t="str">
        <f>_xlfn.IFS(Vendite!F185&lt;'Dati di Supporto'!$O$3,'Dati di Supporto'!$P$2,Vendite!F185&lt;'Dati di Supporto'!$O$4,'Dati di Supporto'!$P$3,Vendite!F185&lt;'Dati di Supporto'!$O$5,'Dati di Supporto'!$P$4,Vendite!F185&lt;'Dati di Supporto'!$O$6,'Dati di Supporto'!$P$5,Vendite!F185&gt;'Dati di Supporto'!$O$6,'Dati di Supporto'!$P$6)</f>
        <v>Fascia 5 (da 1500 € e oltre)</v>
      </c>
      <c r="M185" t="str">
        <f>_xlfn.IFS(G185='Dati di Supporto'!$O$10,'Dati di Supporto'!$P$10,Vendite!G185='Dati di Supporto'!$O$11,'Dati di Supporto'!$P$11,Vendite!G185='Dati di Supporto'!$O$12,'Dati di Supporto'!$P$12,Vendite!G185='Dati di Supporto'!$O$13,'Dati di Supporto'!$P$13,Vendite!G185='Dati di Supporto'!$O$14,'Dati di Supporto'!$P$14)</f>
        <v>Bonifico Bancario</v>
      </c>
    </row>
    <row r="186" spans="1:13" x14ac:dyDescent="0.3">
      <c r="A186" s="11">
        <v>185</v>
      </c>
      <c r="B186" s="6">
        <v>41776</v>
      </c>
      <c r="C186" s="1" t="s">
        <v>2</v>
      </c>
      <c r="D186" s="2" t="s">
        <v>131</v>
      </c>
      <c r="E186" s="2" t="s">
        <v>11</v>
      </c>
      <c r="F186" s="3">
        <v>371</v>
      </c>
      <c r="G186" s="15">
        <v>2</v>
      </c>
      <c r="H186" t="str">
        <f>VLOOKUP(D186,'Dati di Supporto'!$B$2:$C$104,2,FALSE)</f>
        <v>Piemonte</v>
      </c>
      <c r="I186" t="str">
        <f>VLOOKUP(D186,'Dati di Supporto'!$B$2:$D$104,3,FALSE)</f>
        <v>VC</v>
      </c>
      <c r="J186" t="str">
        <f>VLOOKUP(H186,'Dati di Supporto'!$G$2:$H$21,2,FALSE)</f>
        <v>NORD</v>
      </c>
      <c r="K186">
        <f t="shared" si="2"/>
        <v>84</v>
      </c>
      <c r="L186" t="str">
        <f>_xlfn.IFS(Vendite!F186&lt;'Dati di Supporto'!$O$3,'Dati di Supporto'!$P$2,Vendite!F186&lt;'Dati di Supporto'!$O$4,'Dati di Supporto'!$P$3,Vendite!F186&lt;'Dati di Supporto'!$O$5,'Dati di Supporto'!$P$4,Vendite!F186&lt;'Dati di Supporto'!$O$6,'Dati di Supporto'!$P$5,Vendite!F186&gt;'Dati di Supporto'!$O$6,'Dati di Supporto'!$P$6)</f>
        <v>Fascia 1 (inferiore a 400 €)</v>
      </c>
      <c r="M186" t="str">
        <f>_xlfn.IFS(G186='Dati di Supporto'!$O$10,'Dati di Supporto'!$P$10,Vendite!G186='Dati di Supporto'!$O$11,'Dati di Supporto'!$P$11,Vendite!G186='Dati di Supporto'!$O$12,'Dati di Supporto'!$P$12,Vendite!G186='Dati di Supporto'!$O$13,'Dati di Supporto'!$P$13,Vendite!G186='Dati di Supporto'!$O$14,'Dati di Supporto'!$P$14)</f>
        <v>Bonifico Bancario</v>
      </c>
    </row>
    <row r="187" spans="1:13" x14ac:dyDescent="0.3">
      <c r="A187" s="11">
        <v>186</v>
      </c>
      <c r="B187" s="6">
        <v>41667</v>
      </c>
      <c r="C187" s="1" t="s">
        <v>1</v>
      </c>
      <c r="D187" s="2" t="s">
        <v>211</v>
      </c>
      <c r="E187" s="2" t="s">
        <v>11</v>
      </c>
      <c r="F187" s="3">
        <v>1407</v>
      </c>
      <c r="G187" s="15">
        <v>1</v>
      </c>
      <c r="H187" t="str">
        <f>VLOOKUP(D187,'Dati di Supporto'!$B$2:$C$104,2,FALSE)</f>
        <v>Calabria</v>
      </c>
      <c r="I187" t="str">
        <f>VLOOKUP(D187,'Dati di Supporto'!$B$2:$D$104,3,FALSE)</f>
        <v>RC</v>
      </c>
      <c r="J187" t="str">
        <f>VLOOKUP(H187,'Dati di Supporto'!$G$2:$H$21,2,FALSE)</f>
        <v>SUD</v>
      </c>
      <c r="K187">
        <f t="shared" si="2"/>
        <v>96</v>
      </c>
      <c r="L187" t="str">
        <f>_xlfn.IFS(Vendite!F187&lt;'Dati di Supporto'!$O$3,'Dati di Supporto'!$P$2,Vendite!F187&lt;'Dati di Supporto'!$O$4,'Dati di Supporto'!$P$3,Vendite!F187&lt;'Dati di Supporto'!$O$5,'Dati di Supporto'!$P$4,Vendite!F187&lt;'Dati di Supporto'!$O$6,'Dati di Supporto'!$P$5,Vendite!F187&gt;'Dati di Supporto'!$O$6,'Dati di Supporto'!$P$6)</f>
        <v>Fascia 4 (da 1200 €  a meno di 1500 €)</v>
      </c>
      <c r="M187" t="str">
        <f>_xlfn.IFS(G187='Dati di Supporto'!$O$10,'Dati di Supporto'!$P$10,Vendite!G187='Dati di Supporto'!$O$11,'Dati di Supporto'!$P$11,Vendite!G187='Dati di Supporto'!$O$12,'Dati di Supporto'!$P$12,Vendite!G187='Dati di Supporto'!$O$13,'Dati di Supporto'!$P$13,Vendite!G187='Dati di Supporto'!$O$14,'Dati di Supporto'!$P$14)</f>
        <v>Contanti</v>
      </c>
    </row>
    <row r="188" spans="1:13" x14ac:dyDescent="0.3">
      <c r="A188" s="11">
        <v>187</v>
      </c>
      <c r="B188" s="6">
        <v>41781</v>
      </c>
      <c r="C188" s="1" t="s">
        <v>248</v>
      </c>
      <c r="D188" s="2" t="s">
        <v>131</v>
      </c>
      <c r="E188" s="2" t="s">
        <v>252</v>
      </c>
      <c r="F188" s="3">
        <v>1909</v>
      </c>
      <c r="G188" s="15">
        <v>4</v>
      </c>
      <c r="H188" t="str">
        <f>VLOOKUP(D188,'Dati di Supporto'!$B$2:$C$104,2,FALSE)</f>
        <v>Piemonte</v>
      </c>
      <c r="I188" t="str">
        <f>VLOOKUP(D188,'Dati di Supporto'!$B$2:$D$104,3,FALSE)</f>
        <v>VC</v>
      </c>
      <c r="J188" t="str">
        <f>VLOOKUP(H188,'Dati di Supporto'!$G$2:$H$21,2,FALSE)</f>
        <v>NORD</v>
      </c>
      <c r="K188">
        <f t="shared" si="2"/>
        <v>80</v>
      </c>
      <c r="L188" t="str">
        <f>_xlfn.IFS(Vendite!F188&lt;'Dati di Supporto'!$O$3,'Dati di Supporto'!$P$2,Vendite!F188&lt;'Dati di Supporto'!$O$4,'Dati di Supporto'!$P$3,Vendite!F188&lt;'Dati di Supporto'!$O$5,'Dati di Supporto'!$P$4,Vendite!F188&lt;'Dati di Supporto'!$O$6,'Dati di Supporto'!$P$5,Vendite!F188&gt;'Dati di Supporto'!$O$6,'Dati di Supporto'!$P$6)</f>
        <v>Fascia 5 (da 1500 € e oltre)</v>
      </c>
      <c r="M188" t="str">
        <f>_xlfn.IFS(G188='Dati di Supporto'!$O$10,'Dati di Supporto'!$P$10,Vendite!G188='Dati di Supporto'!$O$11,'Dati di Supporto'!$P$11,Vendite!G188='Dati di Supporto'!$O$12,'Dati di Supporto'!$P$12,Vendite!G188='Dati di Supporto'!$O$13,'Dati di Supporto'!$P$13,Vendite!G188='Dati di Supporto'!$O$14,'Dati di Supporto'!$P$14)</f>
        <v>Bollettino postale</v>
      </c>
    </row>
    <row r="189" spans="1:13" x14ac:dyDescent="0.3">
      <c r="A189" s="11">
        <v>188</v>
      </c>
      <c r="B189" s="6">
        <v>41775</v>
      </c>
      <c r="C189" s="1" t="s">
        <v>2</v>
      </c>
      <c r="D189" s="2" t="s">
        <v>98</v>
      </c>
      <c r="E189" s="2" t="s">
        <v>250</v>
      </c>
      <c r="F189" s="3">
        <v>1715</v>
      </c>
      <c r="G189" s="15">
        <v>2</v>
      </c>
      <c r="H189" t="str">
        <f>VLOOKUP(D189,'Dati di Supporto'!$B$2:$C$104,2,FALSE)</f>
        <v>Umbria</v>
      </c>
      <c r="I189" t="str">
        <f>VLOOKUP(D189,'Dati di Supporto'!$B$2:$D$104,3,FALSE)</f>
        <v>PG</v>
      </c>
      <c r="J189" t="str">
        <f>VLOOKUP(H189,'Dati di Supporto'!$G$2:$H$21,2,FALSE)</f>
        <v>CENTRO</v>
      </c>
      <c r="K189">
        <f t="shared" si="2"/>
        <v>84</v>
      </c>
      <c r="L189" t="str">
        <f>_xlfn.IFS(Vendite!F189&lt;'Dati di Supporto'!$O$3,'Dati di Supporto'!$P$2,Vendite!F189&lt;'Dati di Supporto'!$O$4,'Dati di Supporto'!$P$3,Vendite!F189&lt;'Dati di Supporto'!$O$5,'Dati di Supporto'!$P$4,Vendite!F189&lt;'Dati di Supporto'!$O$6,'Dati di Supporto'!$P$5,Vendite!F189&gt;'Dati di Supporto'!$O$6,'Dati di Supporto'!$P$6)</f>
        <v>Fascia 5 (da 1500 € e oltre)</v>
      </c>
      <c r="M189" t="str">
        <f>_xlfn.IFS(G189='Dati di Supporto'!$O$10,'Dati di Supporto'!$P$10,Vendite!G189='Dati di Supporto'!$O$11,'Dati di Supporto'!$P$11,Vendite!G189='Dati di Supporto'!$O$12,'Dati di Supporto'!$P$12,Vendite!G189='Dati di Supporto'!$O$13,'Dati di Supporto'!$P$13,Vendite!G189='Dati di Supporto'!$O$14,'Dati di Supporto'!$P$14)</f>
        <v>Bonifico Bancario</v>
      </c>
    </row>
    <row r="190" spans="1:13" x14ac:dyDescent="0.3">
      <c r="A190" s="11">
        <v>189</v>
      </c>
      <c r="B190" s="6">
        <v>41683</v>
      </c>
      <c r="C190" s="1" t="s">
        <v>248</v>
      </c>
      <c r="D190" s="2" t="s">
        <v>133</v>
      </c>
      <c r="E190" s="2" t="s">
        <v>11</v>
      </c>
      <c r="F190" s="3">
        <v>1145</v>
      </c>
      <c r="G190" s="15">
        <v>2</v>
      </c>
      <c r="H190" t="str">
        <f>VLOOKUP(D190,'Dati di Supporto'!$B$2:$C$104,2,FALSE)</f>
        <v>Calabria</v>
      </c>
      <c r="I190" t="str">
        <f>VLOOKUP(D190,'Dati di Supporto'!$B$2:$D$104,3,FALSE)</f>
        <v>VV</v>
      </c>
      <c r="J190" t="str">
        <f>VLOOKUP(H190,'Dati di Supporto'!$G$2:$H$21,2,FALSE)</f>
        <v>SUD</v>
      </c>
      <c r="K190">
        <f t="shared" si="2"/>
        <v>80</v>
      </c>
      <c r="L190" t="str">
        <f>_xlfn.IFS(Vendite!F190&lt;'Dati di Supporto'!$O$3,'Dati di Supporto'!$P$2,Vendite!F190&lt;'Dati di Supporto'!$O$4,'Dati di Supporto'!$P$3,Vendite!F190&lt;'Dati di Supporto'!$O$5,'Dati di Supporto'!$P$4,Vendite!F190&lt;'Dati di Supporto'!$O$6,'Dati di Supporto'!$P$5,Vendite!F190&gt;'Dati di Supporto'!$O$6,'Dati di Supporto'!$P$6)</f>
        <v>Fascia 3 (da 800 €  a meno di 1200 €)</v>
      </c>
      <c r="M190" t="str">
        <f>_xlfn.IFS(G190='Dati di Supporto'!$O$10,'Dati di Supporto'!$P$10,Vendite!G190='Dati di Supporto'!$O$11,'Dati di Supporto'!$P$11,Vendite!G190='Dati di Supporto'!$O$12,'Dati di Supporto'!$P$12,Vendite!G190='Dati di Supporto'!$O$13,'Dati di Supporto'!$P$13,Vendite!G190='Dati di Supporto'!$O$14,'Dati di Supporto'!$P$14)</f>
        <v>Bonifico Bancario</v>
      </c>
    </row>
    <row r="191" spans="1:13" x14ac:dyDescent="0.3">
      <c r="A191" s="11">
        <v>190</v>
      </c>
      <c r="B191" s="6">
        <v>41758</v>
      </c>
      <c r="C191" s="1" t="s">
        <v>248</v>
      </c>
      <c r="D191" s="2" t="s">
        <v>105</v>
      </c>
      <c r="E191" s="2" t="s">
        <v>11</v>
      </c>
      <c r="F191" s="3">
        <v>925</v>
      </c>
      <c r="G191" s="15">
        <v>3</v>
      </c>
      <c r="H191" t="str">
        <f>VLOOKUP(D191,'Dati di Supporto'!$B$2:$C$104,2,FALSE)</f>
        <v>Basilicata</v>
      </c>
      <c r="I191" t="str">
        <f>VLOOKUP(D191,'Dati di Supporto'!$B$2:$D$104,3,FALSE)</f>
        <v>PZ</v>
      </c>
      <c r="J191" t="str">
        <f>VLOOKUP(H191,'Dati di Supporto'!$G$2:$H$21,2,FALSE)</f>
        <v>SUD</v>
      </c>
      <c r="K191">
        <f t="shared" si="2"/>
        <v>80</v>
      </c>
      <c r="L191" t="str">
        <f>_xlfn.IFS(Vendite!F191&lt;'Dati di Supporto'!$O$3,'Dati di Supporto'!$P$2,Vendite!F191&lt;'Dati di Supporto'!$O$4,'Dati di Supporto'!$P$3,Vendite!F191&lt;'Dati di Supporto'!$O$5,'Dati di Supporto'!$P$4,Vendite!F191&lt;'Dati di Supporto'!$O$6,'Dati di Supporto'!$P$5,Vendite!F191&gt;'Dati di Supporto'!$O$6,'Dati di Supporto'!$P$6)</f>
        <v>Fascia 3 (da 800 €  a meno di 1200 €)</v>
      </c>
      <c r="M191" t="str">
        <f>_xlfn.IFS(G191='Dati di Supporto'!$O$10,'Dati di Supporto'!$P$10,Vendite!G191='Dati di Supporto'!$O$11,'Dati di Supporto'!$P$11,Vendite!G191='Dati di Supporto'!$O$12,'Dati di Supporto'!$P$12,Vendite!G191='Dati di Supporto'!$O$13,'Dati di Supporto'!$P$13,Vendite!G191='Dati di Supporto'!$O$14,'Dati di Supporto'!$P$14)</f>
        <v>Carta di credito</v>
      </c>
    </row>
    <row r="192" spans="1:13" x14ac:dyDescent="0.3">
      <c r="A192" s="11">
        <v>191</v>
      </c>
      <c r="B192" s="6">
        <v>41817</v>
      </c>
      <c r="C192" s="1" t="s">
        <v>1</v>
      </c>
      <c r="D192" s="2" t="s">
        <v>130</v>
      </c>
      <c r="E192" s="2" t="s">
        <v>252</v>
      </c>
      <c r="F192" s="3">
        <v>547</v>
      </c>
      <c r="G192" s="15">
        <v>5</v>
      </c>
      <c r="H192" t="str">
        <f>VLOOKUP(D192,'Dati di Supporto'!$B$2:$C$104,2,FALSE)</f>
        <v>Piemonte</v>
      </c>
      <c r="I192" t="str">
        <f>VLOOKUP(D192,'Dati di Supporto'!$B$2:$D$104,3,FALSE)</f>
        <v>VB</v>
      </c>
      <c r="J192" t="str">
        <f>VLOOKUP(H192,'Dati di Supporto'!$G$2:$H$21,2,FALSE)</f>
        <v>NORD</v>
      </c>
      <c r="K192">
        <f t="shared" si="2"/>
        <v>96</v>
      </c>
      <c r="L192" t="str">
        <f>_xlfn.IFS(Vendite!F192&lt;'Dati di Supporto'!$O$3,'Dati di Supporto'!$P$2,Vendite!F192&lt;'Dati di Supporto'!$O$4,'Dati di Supporto'!$P$3,Vendite!F192&lt;'Dati di Supporto'!$O$5,'Dati di Supporto'!$P$4,Vendite!F192&lt;'Dati di Supporto'!$O$6,'Dati di Supporto'!$P$5,Vendite!F192&gt;'Dati di Supporto'!$O$6,'Dati di Supporto'!$P$6)</f>
        <v>Fascia 2 (da 400 €  a meno di 800 €)</v>
      </c>
      <c r="M192" t="str">
        <f>_xlfn.IFS(G192='Dati di Supporto'!$O$10,'Dati di Supporto'!$P$10,Vendite!G192='Dati di Supporto'!$O$11,'Dati di Supporto'!$P$11,Vendite!G192='Dati di Supporto'!$O$12,'Dati di Supporto'!$P$12,Vendite!G192='Dati di Supporto'!$O$13,'Dati di Supporto'!$P$13,Vendite!G192='Dati di Supporto'!$O$14,'Dati di Supporto'!$P$14)</f>
        <v>Assegno Bancario</v>
      </c>
    </row>
    <row r="193" spans="1:13" x14ac:dyDescent="0.3">
      <c r="A193" s="11">
        <v>192</v>
      </c>
      <c r="B193" s="6">
        <v>41665</v>
      </c>
      <c r="C193" s="1" t="s">
        <v>3</v>
      </c>
      <c r="D193" s="2" t="s">
        <v>121</v>
      </c>
      <c r="E193" s="2" t="s">
        <v>250</v>
      </c>
      <c r="F193" s="3">
        <v>1961</v>
      </c>
      <c r="G193" s="15">
        <v>5</v>
      </c>
      <c r="H193" t="str">
        <f>VLOOKUP(D193,'Dati di Supporto'!$B$2:$C$104,2,FALSE)</f>
        <v>Umbria</v>
      </c>
      <c r="I193" t="str">
        <f>VLOOKUP(D193,'Dati di Supporto'!$B$2:$D$104,3,FALSE)</f>
        <v>TR</v>
      </c>
      <c r="J193" t="str">
        <f>VLOOKUP(H193,'Dati di Supporto'!$G$2:$H$21,2,FALSE)</f>
        <v>CENTRO</v>
      </c>
      <c r="K193">
        <f t="shared" si="2"/>
        <v>87</v>
      </c>
      <c r="L193" t="str">
        <f>_xlfn.IFS(Vendite!F193&lt;'Dati di Supporto'!$O$3,'Dati di Supporto'!$P$2,Vendite!F193&lt;'Dati di Supporto'!$O$4,'Dati di Supporto'!$P$3,Vendite!F193&lt;'Dati di Supporto'!$O$5,'Dati di Supporto'!$P$4,Vendite!F193&lt;'Dati di Supporto'!$O$6,'Dati di Supporto'!$P$5,Vendite!F193&gt;'Dati di Supporto'!$O$6,'Dati di Supporto'!$P$6)</f>
        <v>Fascia 5 (da 1500 € e oltre)</v>
      </c>
      <c r="M193" t="str">
        <f>_xlfn.IFS(G193='Dati di Supporto'!$O$10,'Dati di Supporto'!$P$10,Vendite!G193='Dati di Supporto'!$O$11,'Dati di Supporto'!$P$11,Vendite!G193='Dati di Supporto'!$O$12,'Dati di Supporto'!$P$12,Vendite!G193='Dati di Supporto'!$O$13,'Dati di Supporto'!$P$13,Vendite!G193='Dati di Supporto'!$O$14,'Dati di Supporto'!$P$14)</f>
        <v>Assegno Bancario</v>
      </c>
    </row>
    <row r="194" spans="1:13" x14ac:dyDescent="0.3">
      <c r="A194" s="11">
        <v>193</v>
      </c>
      <c r="B194" s="6">
        <v>41734</v>
      </c>
      <c r="C194" s="1" t="s">
        <v>248</v>
      </c>
      <c r="D194" s="2" t="s">
        <v>126</v>
      </c>
      <c r="E194" s="2" t="s">
        <v>251</v>
      </c>
      <c r="F194" s="3">
        <v>184</v>
      </c>
      <c r="G194" s="15">
        <v>5</v>
      </c>
      <c r="H194" t="str">
        <f>VLOOKUP(D194,'Dati di Supporto'!$B$2:$C$104,2,FALSE)</f>
        <v>Friuli-Venezia Giulia</v>
      </c>
      <c r="I194" t="str">
        <f>VLOOKUP(D194,'Dati di Supporto'!$B$2:$D$104,3,FALSE)</f>
        <v>TS</v>
      </c>
      <c r="J194" t="str">
        <f>VLOOKUP(H194,'Dati di Supporto'!$G$2:$H$21,2,FALSE)</f>
        <v>NORD</v>
      </c>
      <c r="K194">
        <f t="shared" si="2"/>
        <v>80</v>
      </c>
      <c r="L194" t="str">
        <f>_xlfn.IFS(Vendite!F194&lt;'Dati di Supporto'!$O$3,'Dati di Supporto'!$P$2,Vendite!F194&lt;'Dati di Supporto'!$O$4,'Dati di Supporto'!$P$3,Vendite!F194&lt;'Dati di Supporto'!$O$5,'Dati di Supporto'!$P$4,Vendite!F194&lt;'Dati di Supporto'!$O$6,'Dati di Supporto'!$P$5,Vendite!F194&gt;'Dati di Supporto'!$O$6,'Dati di Supporto'!$P$6)</f>
        <v>Fascia 1 (inferiore a 400 €)</v>
      </c>
      <c r="M194" t="str">
        <f>_xlfn.IFS(G194='Dati di Supporto'!$O$10,'Dati di Supporto'!$P$10,Vendite!G194='Dati di Supporto'!$O$11,'Dati di Supporto'!$P$11,Vendite!G194='Dati di Supporto'!$O$12,'Dati di Supporto'!$P$12,Vendite!G194='Dati di Supporto'!$O$13,'Dati di Supporto'!$P$13,Vendite!G194='Dati di Supporto'!$O$14,'Dati di Supporto'!$P$14)</f>
        <v>Assegno Bancario</v>
      </c>
    </row>
    <row r="195" spans="1:13" x14ac:dyDescent="0.3">
      <c r="A195" s="11">
        <v>194</v>
      </c>
      <c r="B195" s="6">
        <v>41724</v>
      </c>
      <c r="C195" s="1" t="s">
        <v>248</v>
      </c>
      <c r="D195" s="2" t="s">
        <v>107</v>
      </c>
      <c r="E195" s="2" t="s">
        <v>252</v>
      </c>
      <c r="F195" s="3">
        <v>163</v>
      </c>
      <c r="G195" s="15">
        <v>1</v>
      </c>
      <c r="H195" t="str">
        <f>VLOOKUP(D195,'Dati di Supporto'!$B$2:$C$104,2,FALSE)</f>
        <v>Sicilia</v>
      </c>
      <c r="I195" t="str">
        <f>VLOOKUP(D195,'Dati di Supporto'!$B$2:$D$104,3,FALSE)</f>
        <v>RG</v>
      </c>
      <c r="J195" t="str">
        <f>VLOOKUP(H195,'Dati di Supporto'!$G$2:$H$21,2,FALSE)</f>
        <v>ISOLE</v>
      </c>
      <c r="K195">
        <f t="shared" ref="K195:K258" si="3">COUNTIF($C$2:$C$501,C195)</f>
        <v>80</v>
      </c>
      <c r="L195" t="str">
        <f>_xlfn.IFS(Vendite!F195&lt;'Dati di Supporto'!$O$3,'Dati di Supporto'!$P$2,Vendite!F195&lt;'Dati di Supporto'!$O$4,'Dati di Supporto'!$P$3,Vendite!F195&lt;'Dati di Supporto'!$O$5,'Dati di Supporto'!$P$4,Vendite!F195&lt;'Dati di Supporto'!$O$6,'Dati di Supporto'!$P$5,Vendite!F195&gt;'Dati di Supporto'!$O$6,'Dati di Supporto'!$P$6)</f>
        <v>Fascia 1 (inferiore a 400 €)</v>
      </c>
      <c r="M195" t="str">
        <f>_xlfn.IFS(G195='Dati di Supporto'!$O$10,'Dati di Supporto'!$P$10,Vendite!G195='Dati di Supporto'!$O$11,'Dati di Supporto'!$P$11,Vendite!G195='Dati di Supporto'!$O$12,'Dati di Supporto'!$P$12,Vendite!G195='Dati di Supporto'!$O$13,'Dati di Supporto'!$P$13,Vendite!G195='Dati di Supporto'!$O$14,'Dati di Supporto'!$P$14)</f>
        <v>Contanti</v>
      </c>
    </row>
    <row r="196" spans="1:13" x14ac:dyDescent="0.3">
      <c r="A196" s="11">
        <v>195</v>
      </c>
      <c r="B196" s="6">
        <v>41744</v>
      </c>
      <c r="C196" s="1" t="s">
        <v>1</v>
      </c>
      <c r="D196" s="2" t="s">
        <v>109</v>
      </c>
      <c r="E196" s="2" t="s">
        <v>251</v>
      </c>
      <c r="F196" s="3">
        <v>484</v>
      </c>
      <c r="G196" s="15">
        <v>4</v>
      </c>
      <c r="H196" t="str">
        <f>VLOOKUP(D196,'Dati di Supporto'!$B$2:$C$104,2,FALSE)</f>
        <v>Lazio</v>
      </c>
      <c r="I196" t="str">
        <f>VLOOKUP(D196,'Dati di Supporto'!$B$2:$D$104,3,FALSE)</f>
        <v>RI</v>
      </c>
      <c r="J196" t="str">
        <f>VLOOKUP(H196,'Dati di Supporto'!$G$2:$H$21,2,FALSE)</f>
        <v>CENTRO</v>
      </c>
      <c r="K196">
        <f t="shared" si="3"/>
        <v>96</v>
      </c>
      <c r="L196" t="str">
        <f>_xlfn.IFS(Vendite!F196&lt;'Dati di Supporto'!$O$3,'Dati di Supporto'!$P$2,Vendite!F196&lt;'Dati di Supporto'!$O$4,'Dati di Supporto'!$P$3,Vendite!F196&lt;'Dati di Supporto'!$O$5,'Dati di Supporto'!$P$4,Vendite!F196&lt;'Dati di Supporto'!$O$6,'Dati di Supporto'!$P$5,Vendite!F196&gt;'Dati di Supporto'!$O$6,'Dati di Supporto'!$P$6)</f>
        <v>Fascia 2 (da 400 €  a meno di 800 €)</v>
      </c>
      <c r="M196" t="str">
        <f>_xlfn.IFS(G196='Dati di Supporto'!$O$10,'Dati di Supporto'!$P$10,Vendite!G196='Dati di Supporto'!$O$11,'Dati di Supporto'!$P$11,Vendite!G196='Dati di Supporto'!$O$12,'Dati di Supporto'!$P$12,Vendite!G196='Dati di Supporto'!$O$13,'Dati di Supporto'!$P$13,Vendite!G196='Dati di Supporto'!$O$14,'Dati di Supporto'!$P$14)</f>
        <v>Bollettino postale</v>
      </c>
    </row>
    <row r="197" spans="1:13" x14ac:dyDescent="0.3">
      <c r="A197" s="11">
        <v>196</v>
      </c>
      <c r="B197" s="6">
        <v>41815</v>
      </c>
      <c r="C197" s="1" t="s">
        <v>1</v>
      </c>
      <c r="D197" s="2" t="s">
        <v>100</v>
      </c>
      <c r="E197" s="2" t="s">
        <v>11</v>
      </c>
      <c r="F197" s="3">
        <v>792</v>
      </c>
      <c r="G197" s="15">
        <v>2</v>
      </c>
      <c r="H197" t="str">
        <f>VLOOKUP(D197,'Dati di Supporto'!$B$2:$C$104,2,FALSE)</f>
        <v>Abruzzo</v>
      </c>
      <c r="I197" t="str">
        <f>VLOOKUP(D197,'Dati di Supporto'!$B$2:$D$104,3,FALSE)</f>
        <v>PE</v>
      </c>
      <c r="J197" t="str">
        <f>VLOOKUP(H197,'Dati di Supporto'!$G$2:$H$21,2,FALSE)</f>
        <v>CENTRO</v>
      </c>
      <c r="K197">
        <f t="shared" si="3"/>
        <v>96</v>
      </c>
      <c r="L197" t="str">
        <f>_xlfn.IFS(Vendite!F197&lt;'Dati di Supporto'!$O$3,'Dati di Supporto'!$P$2,Vendite!F197&lt;'Dati di Supporto'!$O$4,'Dati di Supporto'!$P$3,Vendite!F197&lt;'Dati di Supporto'!$O$5,'Dati di Supporto'!$P$4,Vendite!F197&lt;'Dati di Supporto'!$O$6,'Dati di Supporto'!$P$5,Vendite!F197&gt;'Dati di Supporto'!$O$6,'Dati di Supporto'!$P$6)</f>
        <v>Fascia 2 (da 400 €  a meno di 800 €)</v>
      </c>
      <c r="M197" t="str">
        <f>_xlfn.IFS(G197='Dati di Supporto'!$O$10,'Dati di Supporto'!$P$10,Vendite!G197='Dati di Supporto'!$O$11,'Dati di Supporto'!$P$11,Vendite!G197='Dati di Supporto'!$O$12,'Dati di Supporto'!$P$12,Vendite!G197='Dati di Supporto'!$O$13,'Dati di Supporto'!$P$13,Vendite!G197='Dati di Supporto'!$O$14,'Dati di Supporto'!$P$14)</f>
        <v>Bonifico Bancario</v>
      </c>
    </row>
    <row r="198" spans="1:13" x14ac:dyDescent="0.3">
      <c r="A198" s="11">
        <v>197</v>
      </c>
      <c r="B198" s="6">
        <v>41683</v>
      </c>
      <c r="C198" s="1" t="s">
        <v>8</v>
      </c>
      <c r="D198" s="2" t="s">
        <v>115</v>
      </c>
      <c r="E198" s="2" t="s">
        <v>251</v>
      </c>
      <c r="F198" s="3">
        <v>24</v>
      </c>
      <c r="G198" s="15">
        <v>5</v>
      </c>
      <c r="H198" t="str">
        <f>VLOOKUP(D198,'Dati di Supporto'!$B$2:$C$104,2,FALSE)</f>
        <v>Liguria</v>
      </c>
      <c r="I198" t="str">
        <f>VLOOKUP(D198,'Dati di Supporto'!$B$2:$D$104,3,FALSE)</f>
        <v>SV</v>
      </c>
      <c r="J198" t="str">
        <f>VLOOKUP(H198,'Dati di Supporto'!$G$2:$H$21,2,FALSE)</f>
        <v>NORD</v>
      </c>
      <c r="K198">
        <f t="shared" si="3"/>
        <v>70</v>
      </c>
      <c r="L198" t="str">
        <f>_xlfn.IFS(Vendite!F198&lt;'Dati di Supporto'!$O$3,'Dati di Supporto'!$P$2,Vendite!F198&lt;'Dati di Supporto'!$O$4,'Dati di Supporto'!$P$3,Vendite!F198&lt;'Dati di Supporto'!$O$5,'Dati di Supporto'!$P$4,Vendite!F198&lt;'Dati di Supporto'!$O$6,'Dati di Supporto'!$P$5,Vendite!F198&gt;'Dati di Supporto'!$O$6,'Dati di Supporto'!$P$6)</f>
        <v>Fascia 1 (inferiore a 400 €)</v>
      </c>
      <c r="M198" t="str">
        <f>_xlfn.IFS(G198='Dati di Supporto'!$O$10,'Dati di Supporto'!$P$10,Vendite!G198='Dati di Supporto'!$O$11,'Dati di Supporto'!$P$11,Vendite!G198='Dati di Supporto'!$O$12,'Dati di Supporto'!$P$12,Vendite!G198='Dati di Supporto'!$O$13,'Dati di Supporto'!$P$13,Vendite!G198='Dati di Supporto'!$O$14,'Dati di Supporto'!$P$14)</f>
        <v>Assegno Bancario</v>
      </c>
    </row>
    <row r="199" spans="1:13" x14ac:dyDescent="0.3">
      <c r="A199" s="11">
        <v>198</v>
      </c>
      <c r="B199" s="6">
        <v>41687</v>
      </c>
      <c r="C199" s="1" t="s">
        <v>248</v>
      </c>
      <c r="D199" s="2" t="s">
        <v>130</v>
      </c>
      <c r="E199" s="2" t="s">
        <v>251</v>
      </c>
      <c r="F199" s="3">
        <v>705</v>
      </c>
      <c r="G199" s="15">
        <v>3</v>
      </c>
      <c r="H199" t="str">
        <f>VLOOKUP(D199,'Dati di Supporto'!$B$2:$C$104,2,FALSE)</f>
        <v>Piemonte</v>
      </c>
      <c r="I199" t="str">
        <f>VLOOKUP(D199,'Dati di Supporto'!$B$2:$D$104,3,FALSE)</f>
        <v>VB</v>
      </c>
      <c r="J199" t="str">
        <f>VLOOKUP(H199,'Dati di Supporto'!$G$2:$H$21,2,FALSE)</f>
        <v>NORD</v>
      </c>
      <c r="K199">
        <f t="shared" si="3"/>
        <v>80</v>
      </c>
      <c r="L199" t="str">
        <f>_xlfn.IFS(Vendite!F199&lt;'Dati di Supporto'!$O$3,'Dati di Supporto'!$P$2,Vendite!F199&lt;'Dati di Supporto'!$O$4,'Dati di Supporto'!$P$3,Vendite!F199&lt;'Dati di Supporto'!$O$5,'Dati di Supporto'!$P$4,Vendite!F199&lt;'Dati di Supporto'!$O$6,'Dati di Supporto'!$P$5,Vendite!F199&gt;'Dati di Supporto'!$O$6,'Dati di Supporto'!$P$6)</f>
        <v>Fascia 2 (da 400 €  a meno di 800 €)</v>
      </c>
      <c r="M199" t="str">
        <f>_xlfn.IFS(G199='Dati di Supporto'!$O$10,'Dati di Supporto'!$P$10,Vendite!G199='Dati di Supporto'!$O$11,'Dati di Supporto'!$P$11,Vendite!G199='Dati di Supporto'!$O$12,'Dati di Supporto'!$P$12,Vendite!G199='Dati di Supporto'!$O$13,'Dati di Supporto'!$P$13,Vendite!G199='Dati di Supporto'!$O$14,'Dati di Supporto'!$P$14)</f>
        <v>Carta di credito</v>
      </c>
    </row>
    <row r="200" spans="1:13" x14ac:dyDescent="0.3">
      <c r="A200" s="11">
        <v>199</v>
      </c>
      <c r="B200" s="6">
        <v>41693</v>
      </c>
      <c r="C200" s="1" t="s">
        <v>2</v>
      </c>
      <c r="D200" s="2" t="s">
        <v>118</v>
      </c>
      <c r="E200" s="2" t="s">
        <v>252</v>
      </c>
      <c r="F200" s="3">
        <v>1288</v>
      </c>
      <c r="G200" s="15">
        <v>1</v>
      </c>
      <c r="H200" t="str">
        <f>VLOOKUP(D200,'Dati di Supporto'!$B$2:$C$104,2,FALSE)</f>
        <v>Lombardia</v>
      </c>
      <c r="I200" t="str">
        <f>VLOOKUP(D200,'Dati di Supporto'!$B$2:$D$104,3,FALSE)</f>
        <v>SO</v>
      </c>
      <c r="J200" t="str">
        <f>VLOOKUP(H200,'Dati di Supporto'!$G$2:$H$21,2,FALSE)</f>
        <v>NORD</v>
      </c>
      <c r="K200">
        <f t="shared" si="3"/>
        <v>84</v>
      </c>
      <c r="L200" t="str">
        <f>_xlfn.IFS(Vendite!F200&lt;'Dati di Supporto'!$O$3,'Dati di Supporto'!$P$2,Vendite!F200&lt;'Dati di Supporto'!$O$4,'Dati di Supporto'!$P$3,Vendite!F200&lt;'Dati di Supporto'!$O$5,'Dati di Supporto'!$P$4,Vendite!F200&lt;'Dati di Supporto'!$O$6,'Dati di Supporto'!$P$5,Vendite!F200&gt;'Dati di Supporto'!$O$6,'Dati di Supporto'!$P$6)</f>
        <v>Fascia 4 (da 1200 €  a meno di 1500 €)</v>
      </c>
      <c r="M200" t="str">
        <f>_xlfn.IFS(G200='Dati di Supporto'!$O$10,'Dati di Supporto'!$P$10,Vendite!G200='Dati di Supporto'!$O$11,'Dati di Supporto'!$P$11,Vendite!G200='Dati di Supporto'!$O$12,'Dati di Supporto'!$P$12,Vendite!G200='Dati di Supporto'!$O$13,'Dati di Supporto'!$P$13,Vendite!G200='Dati di Supporto'!$O$14,'Dati di Supporto'!$P$14)</f>
        <v>Contanti</v>
      </c>
    </row>
    <row r="201" spans="1:13" x14ac:dyDescent="0.3">
      <c r="A201" s="11">
        <v>200</v>
      </c>
      <c r="B201" s="6">
        <v>41672</v>
      </c>
      <c r="C201" s="1" t="s">
        <v>3</v>
      </c>
      <c r="D201" s="2" t="s">
        <v>213</v>
      </c>
      <c r="E201" s="2" t="s">
        <v>250</v>
      </c>
      <c r="F201" s="3">
        <v>956</v>
      </c>
      <c r="G201" s="15">
        <v>2</v>
      </c>
      <c r="H201" t="str">
        <f>VLOOKUP(D201,'Dati di Supporto'!$B$2:$C$104,2,FALSE)</f>
        <v>Emilia-Romagna</v>
      </c>
      <c r="I201" t="str">
        <f>VLOOKUP(D201,'Dati di Supporto'!$B$2:$D$104,3,FALSE)</f>
        <v>RE</v>
      </c>
      <c r="J201" t="str">
        <f>VLOOKUP(H201,'Dati di Supporto'!$G$2:$H$21,2,FALSE)</f>
        <v>NORD</v>
      </c>
      <c r="K201">
        <f t="shared" si="3"/>
        <v>87</v>
      </c>
      <c r="L201" t="str">
        <f>_xlfn.IFS(Vendite!F201&lt;'Dati di Supporto'!$O$3,'Dati di Supporto'!$P$2,Vendite!F201&lt;'Dati di Supporto'!$O$4,'Dati di Supporto'!$P$3,Vendite!F201&lt;'Dati di Supporto'!$O$5,'Dati di Supporto'!$P$4,Vendite!F201&lt;'Dati di Supporto'!$O$6,'Dati di Supporto'!$P$5,Vendite!F201&gt;'Dati di Supporto'!$O$6,'Dati di Supporto'!$P$6)</f>
        <v>Fascia 3 (da 800 €  a meno di 1200 €)</v>
      </c>
      <c r="M201" t="str">
        <f>_xlfn.IFS(G201='Dati di Supporto'!$O$10,'Dati di Supporto'!$P$10,Vendite!G201='Dati di Supporto'!$O$11,'Dati di Supporto'!$P$11,Vendite!G201='Dati di Supporto'!$O$12,'Dati di Supporto'!$P$12,Vendite!G201='Dati di Supporto'!$O$13,'Dati di Supporto'!$P$13,Vendite!G201='Dati di Supporto'!$O$14,'Dati di Supporto'!$P$14)</f>
        <v>Bonifico Bancario</v>
      </c>
    </row>
    <row r="202" spans="1:13" x14ac:dyDescent="0.3">
      <c r="A202" s="11">
        <v>201</v>
      </c>
      <c r="B202" s="6">
        <v>41819</v>
      </c>
      <c r="C202" s="1" t="s">
        <v>247</v>
      </c>
      <c r="D202" s="2" t="s">
        <v>129</v>
      </c>
      <c r="E202" s="2" t="s">
        <v>251</v>
      </c>
      <c r="F202" s="3">
        <v>1770</v>
      </c>
      <c r="G202" s="15">
        <v>4</v>
      </c>
      <c r="H202" t="str">
        <f>VLOOKUP(D202,'Dati di Supporto'!$B$2:$C$104,2,FALSE)</f>
        <v>Veneto</v>
      </c>
      <c r="I202" t="str">
        <f>VLOOKUP(D202,'Dati di Supporto'!$B$2:$D$104,3,FALSE)</f>
        <v>VE</v>
      </c>
      <c r="J202" t="str">
        <f>VLOOKUP(H202,'Dati di Supporto'!$G$2:$H$21,2,FALSE)</f>
        <v>NORD</v>
      </c>
      <c r="K202">
        <f t="shared" si="3"/>
        <v>83</v>
      </c>
      <c r="L202" t="str">
        <f>_xlfn.IFS(Vendite!F202&lt;'Dati di Supporto'!$O$3,'Dati di Supporto'!$P$2,Vendite!F202&lt;'Dati di Supporto'!$O$4,'Dati di Supporto'!$P$3,Vendite!F202&lt;'Dati di Supporto'!$O$5,'Dati di Supporto'!$P$4,Vendite!F202&lt;'Dati di Supporto'!$O$6,'Dati di Supporto'!$P$5,Vendite!F202&gt;'Dati di Supporto'!$O$6,'Dati di Supporto'!$P$6)</f>
        <v>Fascia 5 (da 1500 € e oltre)</v>
      </c>
      <c r="M202" t="str">
        <f>_xlfn.IFS(G202='Dati di Supporto'!$O$10,'Dati di Supporto'!$P$10,Vendite!G202='Dati di Supporto'!$O$11,'Dati di Supporto'!$P$11,Vendite!G202='Dati di Supporto'!$O$12,'Dati di Supporto'!$P$12,Vendite!G202='Dati di Supporto'!$O$13,'Dati di Supporto'!$P$13,Vendite!G202='Dati di Supporto'!$O$14,'Dati di Supporto'!$P$14)</f>
        <v>Bollettino postale</v>
      </c>
    </row>
    <row r="203" spans="1:13" x14ac:dyDescent="0.3">
      <c r="A203" s="11">
        <v>202</v>
      </c>
      <c r="B203" s="6">
        <v>41681</v>
      </c>
      <c r="C203" s="1" t="s">
        <v>1</v>
      </c>
      <c r="D203" s="2" t="s">
        <v>115</v>
      </c>
      <c r="E203" s="2" t="s">
        <v>11</v>
      </c>
      <c r="F203" s="3">
        <v>1449</v>
      </c>
      <c r="G203" s="15">
        <v>4</v>
      </c>
      <c r="H203" t="str">
        <f>VLOOKUP(D203,'Dati di Supporto'!$B$2:$C$104,2,FALSE)</f>
        <v>Liguria</v>
      </c>
      <c r="I203" t="str">
        <f>VLOOKUP(D203,'Dati di Supporto'!$B$2:$D$104,3,FALSE)</f>
        <v>SV</v>
      </c>
      <c r="J203" t="str">
        <f>VLOOKUP(H203,'Dati di Supporto'!$G$2:$H$21,2,FALSE)</f>
        <v>NORD</v>
      </c>
      <c r="K203">
        <f t="shared" si="3"/>
        <v>96</v>
      </c>
      <c r="L203" t="str">
        <f>_xlfn.IFS(Vendite!F203&lt;'Dati di Supporto'!$O$3,'Dati di Supporto'!$P$2,Vendite!F203&lt;'Dati di Supporto'!$O$4,'Dati di Supporto'!$P$3,Vendite!F203&lt;'Dati di Supporto'!$O$5,'Dati di Supporto'!$P$4,Vendite!F203&lt;'Dati di Supporto'!$O$6,'Dati di Supporto'!$P$5,Vendite!F203&gt;'Dati di Supporto'!$O$6,'Dati di Supporto'!$P$6)</f>
        <v>Fascia 4 (da 1200 €  a meno di 1500 €)</v>
      </c>
      <c r="M203" t="str">
        <f>_xlfn.IFS(G203='Dati di Supporto'!$O$10,'Dati di Supporto'!$P$10,Vendite!G203='Dati di Supporto'!$O$11,'Dati di Supporto'!$P$11,Vendite!G203='Dati di Supporto'!$O$12,'Dati di Supporto'!$P$12,Vendite!G203='Dati di Supporto'!$O$13,'Dati di Supporto'!$P$13,Vendite!G203='Dati di Supporto'!$O$14,'Dati di Supporto'!$P$14)</f>
        <v>Bollettino postale</v>
      </c>
    </row>
    <row r="204" spans="1:13" x14ac:dyDescent="0.3">
      <c r="A204" s="11">
        <v>203</v>
      </c>
      <c r="B204" s="6">
        <v>41645</v>
      </c>
      <c r="C204" s="1" t="s">
        <v>8</v>
      </c>
      <c r="D204" s="2" t="s">
        <v>132</v>
      </c>
      <c r="E204" s="2" t="s">
        <v>250</v>
      </c>
      <c r="F204" s="3">
        <v>1300</v>
      </c>
      <c r="G204" s="15">
        <v>1</v>
      </c>
      <c r="H204" t="str">
        <f>VLOOKUP(D204,'Dati di Supporto'!$B$2:$C$104,2,FALSE)</f>
        <v>Veneto</v>
      </c>
      <c r="I204" t="str">
        <f>VLOOKUP(D204,'Dati di Supporto'!$B$2:$D$104,3,FALSE)</f>
        <v>VR</v>
      </c>
      <c r="J204" t="str">
        <f>VLOOKUP(H204,'Dati di Supporto'!$G$2:$H$21,2,FALSE)</f>
        <v>NORD</v>
      </c>
      <c r="K204">
        <f t="shared" si="3"/>
        <v>70</v>
      </c>
      <c r="L204" t="str">
        <f>_xlfn.IFS(Vendite!F204&lt;'Dati di Supporto'!$O$3,'Dati di Supporto'!$P$2,Vendite!F204&lt;'Dati di Supporto'!$O$4,'Dati di Supporto'!$P$3,Vendite!F204&lt;'Dati di Supporto'!$O$5,'Dati di Supporto'!$P$4,Vendite!F204&lt;'Dati di Supporto'!$O$6,'Dati di Supporto'!$P$5,Vendite!F204&gt;'Dati di Supporto'!$O$6,'Dati di Supporto'!$P$6)</f>
        <v>Fascia 4 (da 1200 €  a meno di 1500 €)</v>
      </c>
      <c r="M204" t="str">
        <f>_xlfn.IFS(G204='Dati di Supporto'!$O$10,'Dati di Supporto'!$P$10,Vendite!G204='Dati di Supporto'!$O$11,'Dati di Supporto'!$P$11,Vendite!G204='Dati di Supporto'!$O$12,'Dati di Supporto'!$P$12,Vendite!G204='Dati di Supporto'!$O$13,'Dati di Supporto'!$P$13,Vendite!G204='Dati di Supporto'!$O$14,'Dati di Supporto'!$P$14)</f>
        <v>Contanti</v>
      </c>
    </row>
    <row r="205" spans="1:13" x14ac:dyDescent="0.3">
      <c r="A205" s="11">
        <v>204</v>
      </c>
      <c r="B205" s="6">
        <v>41742</v>
      </c>
      <c r="C205" s="1" t="s">
        <v>8</v>
      </c>
      <c r="D205" s="2" t="s">
        <v>102</v>
      </c>
      <c r="E205" s="2" t="s">
        <v>251</v>
      </c>
      <c r="F205" s="3">
        <v>1909</v>
      </c>
      <c r="G205" s="15">
        <v>1</v>
      </c>
      <c r="H205" t="str">
        <f>VLOOKUP(D205,'Dati di Supporto'!$B$2:$C$104,2,FALSE)</f>
        <v>Toscana</v>
      </c>
      <c r="I205" t="str">
        <f>VLOOKUP(D205,'Dati di Supporto'!$B$2:$D$104,3,FALSE)</f>
        <v>PI</v>
      </c>
      <c r="J205" t="str">
        <f>VLOOKUP(H205,'Dati di Supporto'!$G$2:$H$21,2,FALSE)</f>
        <v>CENTRO</v>
      </c>
      <c r="K205">
        <f t="shared" si="3"/>
        <v>70</v>
      </c>
      <c r="L205" t="str">
        <f>_xlfn.IFS(Vendite!F205&lt;'Dati di Supporto'!$O$3,'Dati di Supporto'!$P$2,Vendite!F205&lt;'Dati di Supporto'!$O$4,'Dati di Supporto'!$P$3,Vendite!F205&lt;'Dati di Supporto'!$O$5,'Dati di Supporto'!$P$4,Vendite!F205&lt;'Dati di Supporto'!$O$6,'Dati di Supporto'!$P$5,Vendite!F205&gt;'Dati di Supporto'!$O$6,'Dati di Supporto'!$P$6)</f>
        <v>Fascia 5 (da 1500 € e oltre)</v>
      </c>
      <c r="M205" t="str">
        <f>_xlfn.IFS(G205='Dati di Supporto'!$O$10,'Dati di Supporto'!$P$10,Vendite!G205='Dati di Supporto'!$O$11,'Dati di Supporto'!$P$11,Vendite!G205='Dati di Supporto'!$O$12,'Dati di Supporto'!$P$12,Vendite!G205='Dati di Supporto'!$O$13,'Dati di Supporto'!$P$13,Vendite!G205='Dati di Supporto'!$O$14,'Dati di Supporto'!$P$14)</f>
        <v>Contanti</v>
      </c>
    </row>
    <row r="206" spans="1:13" x14ac:dyDescent="0.3">
      <c r="A206" s="11">
        <v>205</v>
      </c>
      <c r="B206" s="6">
        <v>41700</v>
      </c>
      <c r="C206" s="1" t="s">
        <v>1</v>
      </c>
      <c r="D206" s="2" t="s">
        <v>115</v>
      </c>
      <c r="E206" s="2" t="s">
        <v>251</v>
      </c>
      <c r="F206" s="3">
        <v>1006</v>
      </c>
      <c r="G206" s="15">
        <v>3</v>
      </c>
      <c r="H206" t="str">
        <f>VLOOKUP(D206,'Dati di Supporto'!$B$2:$C$104,2,FALSE)</f>
        <v>Liguria</v>
      </c>
      <c r="I206" t="str">
        <f>VLOOKUP(D206,'Dati di Supporto'!$B$2:$D$104,3,FALSE)</f>
        <v>SV</v>
      </c>
      <c r="J206" t="str">
        <f>VLOOKUP(H206,'Dati di Supporto'!$G$2:$H$21,2,FALSE)</f>
        <v>NORD</v>
      </c>
      <c r="K206">
        <f t="shared" si="3"/>
        <v>96</v>
      </c>
      <c r="L206" t="str">
        <f>_xlfn.IFS(Vendite!F206&lt;'Dati di Supporto'!$O$3,'Dati di Supporto'!$P$2,Vendite!F206&lt;'Dati di Supporto'!$O$4,'Dati di Supporto'!$P$3,Vendite!F206&lt;'Dati di Supporto'!$O$5,'Dati di Supporto'!$P$4,Vendite!F206&lt;'Dati di Supporto'!$O$6,'Dati di Supporto'!$P$5,Vendite!F206&gt;'Dati di Supporto'!$O$6,'Dati di Supporto'!$P$6)</f>
        <v>Fascia 3 (da 800 €  a meno di 1200 €)</v>
      </c>
      <c r="M206" t="str">
        <f>_xlfn.IFS(G206='Dati di Supporto'!$O$10,'Dati di Supporto'!$P$10,Vendite!G206='Dati di Supporto'!$O$11,'Dati di Supporto'!$P$11,Vendite!G206='Dati di Supporto'!$O$12,'Dati di Supporto'!$P$12,Vendite!G206='Dati di Supporto'!$O$13,'Dati di Supporto'!$P$13,Vendite!G206='Dati di Supporto'!$O$14,'Dati di Supporto'!$P$14)</f>
        <v>Carta di credito</v>
      </c>
    </row>
    <row r="207" spans="1:13" x14ac:dyDescent="0.3">
      <c r="A207" s="11">
        <v>206</v>
      </c>
      <c r="B207" s="6">
        <v>41674</v>
      </c>
      <c r="C207" s="1" t="s">
        <v>3</v>
      </c>
      <c r="D207" s="2" t="s">
        <v>124</v>
      </c>
      <c r="E207" s="2" t="s">
        <v>11</v>
      </c>
      <c r="F207" s="3">
        <v>715</v>
      </c>
      <c r="G207" s="15">
        <v>3</v>
      </c>
      <c r="H207" t="str">
        <f>VLOOKUP(D207,'Dati di Supporto'!$B$2:$C$104,2,FALSE)</f>
        <v>Trentino-Alto Adige</v>
      </c>
      <c r="I207" t="str">
        <f>VLOOKUP(D207,'Dati di Supporto'!$B$2:$D$104,3,FALSE)</f>
        <v>TN</v>
      </c>
      <c r="J207" t="str">
        <f>VLOOKUP(H207,'Dati di Supporto'!$G$2:$H$21,2,FALSE)</f>
        <v>NORD</v>
      </c>
      <c r="K207">
        <f t="shared" si="3"/>
        <v>87</v>
      </c>
      <c r="L207" t="str">
        <f>_xlfn.IFS(Vendite!F207&lt;'Dati di Supporto'!$O$3,'Dati di Supporto'!$P$2,Vendite!F207&lt;'Dati di Supporto'!$O$4,'Dati di Supporto'!$P$3,Vendite!F207&lt;'Dati di Supporto'!$O$5,'Dati di Supporto'!$P$4,Vendite!F207&lt;'Dati di Supporto'!$O$6,'Dati di Supporto'!$P$5,Vendite!F207&gt;'Dati di Supporto'!$O$6,'Dati di Supporto'!$P$6)</f>
        <v>Fascia 2 (da 400 €  a meno di 800 €)</v>
      </c>
      <c r="M207" t="str">
        <f>_xlfn.IFS(G207='Dati di Supporto'!$O$10,'Dati di Supporto'!$P$10,Vendite!G207='Dati di Supporto'!$O$11,'Dati di Supporto'!$P$11,Vendite!G207='Dati di Supporto'!$O$12,'Dati di Supporto'!$P$12,Vendite!G207='Dati di Supporto'!$O$13,'Dati di Supporto'!$P$13,Vendite!G207='Dati di Supporto'!$O$14,'Dati di Supporto'!$P$14)</f>
        <v>Carta di credito</v>
      </c>
    </row>
    <row r="208" spans="1:13" x14ac:dyDescent="0.3">
      <c r="A208" s="11">
        <v>207</v>
      </c>
      <c r="B208" s="6">
        <v>41721</v>
      </c>
      <c r="C208" s="1" t="s">
        <v>247</v>
      </c>
      <c r="D208" s="2" t="s">
        <v>123</v>
      </c>
      <c r="E208" s="2" t="s">
        <v>11</v>
      </c>
      <c r="F208" s="3">
        <v>296</v>
      </c>
      <c r="G208" s="15">
        <v>2</v>
      </c>
      <c r="H208" t="str">
        <f>VLOOKUP(D208,'Dati di Supporto'!$B$2:$C$104,2,FALSE)</f>
        <v>Sicilia</v>
      </c>
      <c r="I208" t="str">
        <f>VLOOKUP(D208,'Dati di Supporto'!$B$2:$D$104,3,FALSE)</f>
        <v>TP</v>
      </c>
      <c r="J208" t="str">
        <f>VLOOKUP(H208,'Dati di Supporto'!$G$2:$H$21,2,FALSE)</f>
        <v>ISOLE</v>
      </c>
      <c r="K208">
        <f t="shared" si="3"/>
        <v>83</v>
      </c>
      <c r="L208" t="str">
        <f>_xlfn.IFS(Vendite!F208&lt;'Dati di Supporto'!$O$3,'Dati di Supporto'!$P$2,Vendite!F208&lt;'Dati di Supporto'!$O$4,'Dati di Supporto'!$P$3,Vendite!F208&lt;'Dati di Supporto'!$O$5,'Dati di Supporto'!$P$4,Vendite!F208&lt;'Dati di Supporto'!$O$6,'Dati di Supporto'!$P$5,Vendite!F208&gt;'Dati di Supporto'!$O$6,'Dati di Supporto'!$P$6)</f>
        <v>Fascia 1 (inferiore a 400 €)</v>
      </c>
      <c r="M208" t="str">
        <f>_xlfn.IFS(G208='Dati di Supporto'!$O$10,'Dati di Supporto'!$P$10,Vendite!G208='Dati di Supporto'!$O$11,'Dati di Supporto'!$P$11,Vendite!G208='Dati di Supporto'!$O$12,'Dati di Supporto'!$P$12,Vendite!G208='Dati di Supporto'!$O$13,'Dati di Supporto'!$P$13,Vendite!G208='Dati di Supporto'!$O$14,'Dati di Supporto'!$P$14)</f>
        <v>Bonifico Bancario</v>
      </c>
    </row>
    <row r="209" spans="1:13" x14ac:dyDescent="0.3">
      <c r="A209" s="11">
        <v>208</v>
      </c>
      <c r="B209" s="6">
        <v>41802</v>
      </c>
      <c r="C209" s="1" t="s">
        <v>8</v>
      </c>
      <c r="D209" s="2" t="s">
        <v>110</v>
      </c>
      <c r="E209" s="2" t="s">
        <v>250</v>
      </c>
      <c r="F209" s="3">
        <v>1079</v>
      </c>
      <c r="G209" s="15">
        <v>2</v>
      </c>
      <c r="H209" t="str">
        <f>VLOOKUP(D209,'Dati di Supporto'!$B$2:$C$104,2,FALSE)</f>
        <v>Emilia-Romagna</v>
      </c>
      <c r="I209" t="str">
        <f>VLOOKUP(D209,'Dati di Supporto'!$B$2:$D$104,3,FALSE)</f>
        <v>RN</v>
      </c>
      <c r="J209" t="str">
        <f>VLOOKUP(H209,'Dati di Supporto'!$G$2:$H$21,2,FALSE)</f>
        <v>NORD</v>
      </c>
      <c r="K209">
        <f t="shared" si="3"/>
        <v>70</v>
      </c>
      <c r="L209" t="str">
        <f>_xlfn.IFS(Vendite!F209&lt;'Dati di Supporto'!$O$3,'Dati di Supporto'!$P$2,Vendite!F209&lt;'Dati di Supporto'!$O$4,'Dati di Supporto'!$P$3,Vendite!F209&lt;'Dati di Supporto'!$O$5,'Dati di Supporto'!$P$4,Vendite!F209&lt;'Dati di Supporto'!$O$6,'Dati di Supporto'!$P$5,Vendite!F209&gt;'Dati di Supporto'!$O$6,'Dati di Supporto'!$P$6)</f>
        <v>Fascia 3 (da 800 €  a meno di 1200 €)</v>
      </c>
      <c r="M209" t="str">
        <f>_xlfn.IFS(G209='Dati di Supporto'!$O$10,'Dati di Supporto'!$P$10,Vendite!G209='Dati di Supporto'!$O$11,'Dati di Supporto'!$P$11,Vendite!G209='Dati di Supporto'!$O$12,'Dati di Supporto'!$P$12,Vendite!G209='Dati di Supporto'!$O$13,'Dati di Supporto'!$P$13,Vendite!G209='Dati di Supporto'!$O$14,'Dati di Supporto'!$P$14)</f>
        <v>Bonifico Bancario</v>
      </c>
    </row>
    <row r="210" spans="1:13" x14ac:dyDescent="0.3">
      <c r="A210" s="11">
        <v>209</v>
      </c>
      <c r="B210" s="6">
        <v>41662</v>
      </c>
      <c r="C210" s="1" t="s">
        <v>247</v>
      </c>
      <c r="D210" s="2" t="s">
        <v>109</v>
      </c>
      <c r="E210" s="2" t="s">
        <v>250</v>
      </c>
      <c r="F210" s="3">
        <v>222</v>
      </c>
      <c r="G210" s="15">
        <v>5</v>
      </c>
      <c r="H210" t="str">
        <f>VLOOKUP(D210,'Dati di Supporto'!$B$2:$C$104,2,FALSE)</f>
        <v>Lazio</v>
      </c>
      <c r="I210" t="str">
        <f>VLOOKUP(D210,'Dati di Supporto'!$B$2:$D$104,3,FALSE)</f>
        <v>RI</v>
      </c>
      <c r="J210" t="str">
        <f>VLOOKUP(H210,'Dati di Supporto'!$G$2:$H$21,2,FALSE)</f>
        <v>CENTRO</v>
      </c>
      <c r="K210">
        <f t="shared" si="3"/>
        <v>83</v>
      </c>
      <c r="L210" t="str">
        <f>_xlfn.IFS(Vendite!F210&lt;'Dati di Supporto'!$O$3,'Dati di Supporto'!$P$2,Vendite!F210&lt;'Dati di Supporto'!$O$4,'Dati di Supporto'!$P$3,Vendite!F210&lt;'Dati di Supporto'!$O$5,'Dati di Supporto'!$P$4,Vendite!F210&lt;'Dati di Supporto'!$O$6,'Dati di Supporto'!$P$5,Vendite!F210&gt;'Dati di Supporto'!$O$6,'Dati di Supporto'!$P$6)</f>
        <v>Fascia 1 (inferiore a 400 €)</v>
      </c>
      <c r="M210" t="str">
        <f>_xlfn.IFS(G210='Dati di Supporto'!$O$10,'Dati di Supporto'!$P$10,Vendite!G210='Dati di Supporto'!$O$11,'Dati di Supporto'!$P$11,Vendite!G210='Dati di Supporto'!$O$12,'Dati di Supporto'!$P$12,Vendite!G210='Dati di Supporto'!$O$13,'Dati di Supporto'!$P$13,Vendite!G210='Dati di Supporto'!$O$14,'Dati di Supporto'!$P$14)</f>
        <v>Assegno Bancario</v>
      </c>
    </row>
    <row r="211" spans="1:13" x14ac:dyDescent="0.3">
      <c r="A211" s="11">
        <v>210</v>
      </c>
      <c r="B211" s="6">
        <v>41651</v>
      </c>
      <c r="C211" s="1" t="s">
        <v>8</v>
      </c>
      <c r="D211" s="2" t="s">
        <v>125</v>
      </c>
      <c r="E211" s="2" t="s">
        <v>250</v>
      </c>
      <c r="F211" s="3">
        <v>1433</v>
      </c>
      <c r="G211" s="15">
        <v>5</v>
      </c>
      <c r="H211" t="str">
        <f>VLOOKUP(D211,'Dati di Supporto'!$B$2:$C$104,2,FALSE)</f>
        <v>Veneto</v>
      </c>
      <c r="I211" t="str">
        <f>VLOOKUP(D211,'Dati di Supporto'!$B$2:$D$104,3,FALSE)</f>
        <v>TV</v>
      </c>
      <c r="J211" t="str">
        <f>VLOOKUP(H211,'Dati di Supporto'!$G$2:$H$21,2,FALSE)</f>
        <v>NORD</v>
      </c>
      <c r="K211">
        <f t="shared" si="3"/>
        <v>70</v>
      </c>
      <c r="L211" t="str">
        <f>_xlfn.IFS(Vendite!F211&lt;'Dati di Supporto'!$O$3,'Dati di Supporto'!$P$2,Vendite!F211&lt;'Dati di Supporto'!$O$4,'Dati di Supporto'!$P$3,Vendite!F211&lt;'Dati di Supporto'!$O$5,'Dati di Supporto'!$P$4,Vendite!F211&lt;'Dati di Supporto'!$O$6,'Dati di Supporto'!$P$5,Vendite!F211&gt;'Dati di Supporto'!$O$6,'Dati di Supporto'!$P$6)</f>
        <v>Fascia 4 (da 1200 €  a meno di 1500 €)</v>
      </c>
      <c r="M211" t="str">
        <f>_xlfn.IFS(G211='Dati di Supporto'!$O$10,'Dati di Supporto'!$P$10,Vendite!G211='Dati di Supporto'!$O$11,'Dati di Supporto'!$P$11,Vendite!G211='Dati di Supporto'!$O$12,'Dati di Supporto'!$P$12,Vendite!G211='Dati di Supporto'!$O$13,'Dati di Supporto'!$P$13,Vendite!G211='Dati di Supporto'!$O$14,'Dati di Supporto'!$P$14)</f>
        <v>Assegno Bancario</v>
      </c>
    </row>
    <row r="212" spans="1:13" x14ac:dyDescent="0.3">
      <c r="A212" s="11">
        <v>211</v>
      </c>
      <c r="B212" s="6">
        <v>41795</v>
      </c>
      <c r="C212" s="1" t="s">
        <v>1</v>
      </c>
      <c r="D212" s="2" t="s">
        <v>134</v>
      </c>
      <c r="E212" s="2" t="s">
        <v>252</v>
      </c>
      <c r="F212" s="3">
        <v>1052</v>
      </c>
      <c r="G212" s="15">
        <v>3</v>
      </c>
      <c r="H212" t="str">
        <f>VLOOKUP(D212,'Dati di Supporto'!$B$2:$C$104,2,FALSE)</f>
        <v>Veneto</v>
      </c>
      <c r="I212" t="str">
        <f>VLOOKUP(D212,'Dati di Supporto'!$B$2:$D$104,3,FALSE)</f>
        <v>VI</v>
      </c>
      <c r="J212" t="str">
        <f>VLOOKUP(H212,'Dati di Supporto'!$G$2:$H$21,2,FALSE)</f>
        <v>NORD</v>
      </c>
      <c r="K212">
        <f t="shared" si="3"/>
        <v>96</v>
      </c>
      <c r="L212" t="str">
        <f>_xlfn.IFS(Vendite!F212&lt;'Dati di Supporto'!$O$3,'Dati di Supporto'!$P$2,Vendite!F212&lt;'Dati di Supporto'!$O$4,'Dati di Supporto'!$P$3,Vendite!F212&lt;'Dati di Supporto'!$O$5,'Dati di Supporto'!$P$4,Vendite!F212&lt;'Dati di Supporto'!$O$6,'Dati di Supporto'!$P$5,Vendite!F212&gt;'Dati di Supporto'!$O$6,'Dati di Supporto'!$P$6)</f>
        <v>Fascia 3 (da 800 €  a meno di 1200 €)</v>
      </c>
      <c r="M212" t="str">
        <f>_xlfn.IFS(G212='Dati di Supporto'!$O$10,'Dati di Supporto'!$P$10,Vendite!G212='Dati di Supporto'!$O$11,'Dati di Supporto'!$P$11,Vendite!G212='Dati di Supporto'!$O$12,'Dati di Supporto'!$P$12,Vendite!G212='Dati di Supporto'!$O$13,'Dati di Supporto'!$P$13,Vendite!G212='Dati di Supporto'!$O$14,'Dati di Supporto'!$P$14)</f>
        <v>Carta di credito</v>
      </c>
    </row>
    <row r="213" spans="1:13" x14ac:dyDescent="0.3">
      <c r="A213" s="11">
        <v>212</v>
      </c>
      <c r="B213" s="6">
        <v>41644</v>
      </c>
      <c r="C213" s="1" t="s">
        <v>8</v>
      </c>
      <c r="D213" s="2" t="s">
        <v>102</v>
      </c>
      <c r="E213" s="2" t="s">
        <v>11</v>
      </c>
      <c r="F213" s="3">
        <v>1917</v>
      </c>
      <c r="G213" s="15">
        <v>3</v>
      </c>
      <c r="H213" t="str">
        <f>VLOOKUP(D213,'Dati di Supporto'!$B$2:$C$104,2,FALSE)</f>
        <v>Toscana</v>
      </c>
      <c r="I213" t="str">
        <f>VLOOKUP(D213,'Dati di Supporto'!$B$2:$D$104,3,FALSE)</f>
        <v>PI</v>
      </c>
      <c r="J213" t="str">
        <f>VLOOKUP(H213,'Dati di Supporto'!$G$2:$H$21,2,FALSE)</f>
        <v>CENTRO</v>
      </c>
      <c r="K213">
        <f t="shared" si="3"/>
        <v>70</v>
      </c>
      <c r="L213" t="str">
        <f>_xlfn.IFS(Vendite!F213&lt;'Dati di Supporto'!$O$3,'Dati di Supporto'!$P$2,Vendite!F213&lt;'Dati di Supporto'!$O$4,'Dati di Supporto'!$P$3,Vendite!F213&lt;'Dati di Supporto'!$O$5,'Dati di Supporto'!$P$4,Vendite!F213&lt;'Dati di Supporto'!$O$6,'Dati di Supporto'!$P$5,Vendite!F213&gt;'Dati di Supporto'!$O$6,'Dati di Supporto'!$P$6)</f>
        <v>Fascia 5 (da 1500 € e oltre)</v>
      </c>
      <c r="M213" t="str">
        <f>_xlfn.IFS(G213='Dati di Supporto'!$O$10,'Dati di Supporto'!$P$10,Vendite!G213='Dati di Supporto'!$O$11,'Dati di Supporto'!$P$11,Vendite!G213='Dati di Supporto'!$O$12,'Dati di Supporto'!$P$12,Vendite!G213='Dati di Supporto'!$O$13,'Dati di Supporto'!$P$13,Vendite!G213='Dati di Supporto'!$O$14,'Dati di Supporto'!$P$14)</f>
        <v>Carta di credito</v>
      </c>
    </row>
    <row r="214" spans="1:13" x14ac:dyDescent="0.3">
      <c r="A214" s="11">
        <v>213</v>
      </c>
      <c r="B214" s="6">
        <v>41705</v>
      </c>
      <c r="C214" s="1" t="s">
        <v>2</v>
      </c>
      <c r="D214" s="2" t="s">
        <v>121</v>
      </c>
      <c r="E214" s="2" t="s">
        <v>10</v>
      </c>
      <c r="F214" s="3">
        <v>1973</v>
      </c>
      <c r="G214" s="15">
        <v>1</v>
      </c>
      <c r="H214" t="str">
        <f>VLOOKUP(D214,'Dati di Supporto'!$B$2:$C$104,2,FALSE)</f>
        <v>Umbria</v>
      </c>
      <c r="I214" t="str">
        <f>VLOOKUP(D214,'Dati di Supporto'!$B$2:$D$104,3,FALSE)</f>
        <v>TR</v>
      </c>
      <c r="J214" t="str">
        <f>VLOOKUP(H214,'Dati di Supporto'!$G$2:$H$21,2,FALSE)</f>
        <v>CENTRO</v>
      </c>
      <c r="K214">
        <f t="shared" si="3"/>
        <v>84</v>
      </c>
      <c r="L214" t="str">
        <f>_xlfn.IFS(Vendite!F214&lt;'Dati di Supporto'!$O$3,'Dati di Supporto'!$P$2,Vendite!F214&lt;'Dati di Supporto'!$O$4,'Dati di Supporto'!$P$3,Vendite!F214&lt;'Dati di Supporto'!$O$5,'Dati di Supporto'!$P$4,Vendite!F214&lt;'Dati di Supporto'!$O$6,'Dati di Supporto'!$P$5,Vendite!F214&gt;'Dati di Supporto'!$O$6,'Dati di Supporto'!$P$6)</f>
        <v>Fascia 5 (da 1500 € e oltre)</v>
      </c>
      <c r="M214" t="str">
        <f>_xlfn.IFS(G214='Dati di Supporto'!$O$10,'Dati di Supporto'!$P$10,Vendite!G214='Dati di Supporto'!$O$11,'Dati di Supporto'!$P$11,Vendite!G214='Dati di Supporto'!$O$12,'Dati di Supporto'!$P$12,Vendite!G214='Dati di Supporto'!$O$13,'Dati di Supporto'!$P$13,Vendite!G214='Dati di Supporto'!$O$14,'Dati di Supporto'!$P$14)</f>
        <v>Contanti</v>
      </c>
    </row>
    <row r="215" spans="1:13" x14ac:dyDescent="0.3">
      <c r="A215" s="11">
        <v>214</v>
      </c>
      <c r="B215" s="6">
        <v>41754</v>
      </c>
      <c r="C215" s="1" t="s">
        <v>2</v>
      </c>
      <c r="D215" s="2" t="s">
        <v>120</v>
      </c>
      <c r="E215" s="2" t="s">
        <v>252</v>
      </c>
      <c r="F215" s="3">
        <v>10</v>
      </c>
      <c r="G215" s="15">
        <v>1</v>
      </c>
      <c r="H215" t="str">
        <f>VLOOKUP(D215,'Dati di Supporto'!$B$2:$C$104,2,FALSE)</f>
        <v>Abruzzo</v>
      </c>
      <c r="I215" t="str">
        <f>VLOOKUP(D215,'Dati di Supporto'!$B$2:$D$104,3,FALSE)</f>
        <v>TE</v>
      </c>
      <c r="J215" t="str">
        <f>VLOOKUP(H215,'Dati di Supporto'!$G$2:$H$21,2,FALSE)</f>
        <v>CENTRO</v>
      </c>
      <c r="K215">
        <f t="shared" si="3"/>
        <v>84</v>
      </c>
      <c r="L215" t="str">
        <f>_xlfn.IFS(Vendite!F215&lt;'Dati di Supporto'!$O$3,'Dati di Supporto'!$P$2,Vendite!F215&lt;'Dati di Supporto'!$O$4,'Dati di Supporto'!$P$3,Vendite!F215&lt;'Dati di Supporto'!$O$5,'Dati di Supporto'!$P$4,Vendite!F215&lt;'Dati di Supporto'!$O$6,'Dati di Supporto'!$P$5,Vendite!F215&gt;'Dati di Supporto'!$O$6,'Dati di Supporto'!$P$6)</f>
        <v>Fascia 1 (inferiore a 400 €)</v>
      </c>
      <c r="M215" t="str">
        <f>_xlfn.IFS(G215='Dati di Supporto'!$O$10,'Dati di Supporto'!$P$10,Vendite!G215='Dati di Supporto'!$O$11,'Dati di Supporto'!$P$11,Vendite!G215='Dati di Supporto'!$O$12,'Dati di Supporto'!$P$12,Vendite!G215='Dati di Supporto'!$O$13,'Dati di Supporto'!$P$13,Vendite!G215='Dati di Supporto'!$O$14,'Dati di Supporto'!$P$14)</f>
        <v>Contanti</v>
      </c>
    </row>
    <row r="216" spans="1:13" x14ac:dyDescent="0.3">
      <c r="A216" s="11">
        <v>215</v>
      </c>
      <c r="B216" s="6">
        <v>41750</v>
      </c>
      <c r="C216" s="1" t="s">
        <v>2</v>
      </c>
      <c r="D216" s="2" t="s">
        <v>126</v>
      </c>
      <c r="E216" s="2" t="s">
        <v>251</v>
      </c>
      <c r="F216" s="3">
        <v>328</v>
      </c>
      <c r="G216" s="15">
        <v>1</v>
      </c>
      <c r="H216" t="str">
        <f>VLOOKUP(D216,'Dati di Supporto'!$B$2:$C$104,2,FALSE)</f>
        <v>Friuli-Venezia Giulia</v>
      </c>
      <c r="I216" t="str">
        <f>VLOOKUP(D216,'Dati di Supporto'!$B$2:$D$104,3,FALSE)</f>
        <v>TS</v>
      </c>
      <c r="J216" t="str">
        <f>VLOOKUP(H216,'Dati di Supporto'!$G$2:$H$21,2,FALSE)</f>
        <v>NORD</v>
      </c>
      <c r="K216">
        <f t="shared" si="3"/>
        <v>84</v>
      </c>
      <c r="L216" t="str">
        <f>_xlfn.IFS(Vendite!F216&lt;'Dati di Supporto'!$O$3,'Dati di Supporto'!$P$2,Vendite!F216&lt;'Dati di Supporto'!$O$4,'Dati di Supporto'!$P$3,Vendite!F216&lt;'Dati di Supporto'!$O$5,'Dati di Supporto'!$P$4,Vendite!F216&lt;'Dati di Supporto'!$O$6,'Dati di Supporto'!$P$5,Vendite!F216&gt;'Dati di Supporto'!$O$6,'Dati di Supporto'!$P$6)</f>
        <v>Fascia 1 (inferiore a 400 €)</v>
      </c>
      <c r="M216" t="str">
        <f>_xlfn.IFS(G216='Dati di Supporto'!$O$10,'Dati di Supporto'!$P$10,Vendite!G216='Dati di Supporto'!$O$11,'Dati di Supporto'!$P$11,Vendite!G216='Dati di Supporto'!$O$12,'Dati di Supporto'!$P$12,Vendite!G216='Dati di Supporto'!$O$13,'Dati di Supporto'!$P$13,Vendite!G216='Dati di Supporto'!$O$14,'Dati di Supporto'!$P$14)</f>
        <v>Contanti</v>
      </c>
    </row>
    <row r="217" spans="1:13" x14ac:dyDescent="0.3">
      <c r="A217" s="11">
        <v>216</v>
      </c>
      <c r="B217" s="6">
        <v>41750</v>
      </c>
      <c r="C217" s="1" t="s">
        <v>248</v>
      </c>
      <c r="D217" s="2" t="s">
        <v>115</v>
      </c>
      <c r="E217" s="2" t="s">
        <v>252</v>
      </c>
      <c r="F217" s="3">
        <v>1425</v>
      </c>
      <c r="G217" s="15">
        <v>4</v>
      </c>
      <c r="H217" t="str">
        <f>VLOOKUP(D217,'Dati di Supporto'!$B$2:$C$104,2,FALSE)</f>
        <v>Liguria</v>
      </c>
      <c r="I217" t="str">
        <f>VLOOKUP(D217,'Dati di Supporto'!$B$2:$D$104,3,FALSE)</f>
        <v>SV</v>
      </c>
      <c r="J217" t="str">
        <f>VLOOKUP(H217,'Dati di Supporto'!$G$2:$H$21,2,FALSE)</f>
        <v>NORD</v>
      </c>
      <c r="K217">
        <f t="shared" si="3"/>
        <v>80</v>
      </c>
      <c r="L217" t="str">
        <f>_xlfn.IFS(Vendite!F217&lt;'Dati di Supporto'!$O$3,'Dati di Supporto'!$P$2,Vendite!F217&lt;'Dati di Supporto'!$O$4,'Dati di Supporto'!$P$3,Vendite!F217&lt;'Dati di Supporto'!$O$5,'Dati di Supporto'!$P$4,Vendite!F217&lt;'Dati di Supporto'!$O$6,'Dati di Supporto'!$P$5,Vendite!F217&gt;'Dati di Supporto'!$O$6,'Dati di Supporto'!$P$6)</f>
        <v>Fascia 4 (da 1200 €  a meno di 1500 €)</v>
      </c>
      <c r="M217" t="str">
        <f>_xlfn.IFS(G217='Dati di Supporto'!$O$10,'Dati di Supporto'!$P$10,Vendite!G217='Dati di Supporto'!$O$11,'Dati di Supporto'!$P$11,Vendite!G217='Dati di Supporto'!$O$12,'Dati di Supporto'!$P$12,Vendite!G217='Dati di Supporto'!$O$13,'Dati di Supporto'!$P$13,Vendite!G217='Dati di Supporto'!$O$14,'Dati di Supporto'!$P$14)</f>
        <v>Bollettino postale</v>
      </c>
    </row>
    <row r="218" spans="1:13" x14ac:dyDescent="0.3">
      <c r="A218" s="11">
        <v>217</v>
      </c>
      <c r="B218" s="6">
        <v>41680</v>
      </c>
      <c r="C218" s="1" t="s">
        <v>3</v>
      </c>
      <c r="D218" s="2" t="s">
        <v>98</v>
      </c>
      <c r="E218" s="2" t="s">
        <v>10</v>
      </c>
      <c r="F218" s="3">
        <v>833</v>
      </c>
      <c r="G218" s="15">
        <v>2</v>
      </c>
      <c r="H218" t="str">
        <f>VLOOKUP(D218,'Dati di Supporto'!$B$2:$C$104,2,FALSE)</f>
        <v>Umbria</v>
      </c>
      <c r="I218" t="str">
        <f>VLOOKUP(D218,'Dati di Supporto'!$B$2:$D$104,3,FALSE)</f>
        <v>PG</v>
      </c>
      <c r="J218" t="str">
        <f>VLOOKUP(H218,'Dati di Supporto'!$G$2:$H$21,2,FALSE)</f>
        <v>CENTRO</v>
      </c>
      <c r="K218">
        <f t="shared" si="3"/>
        <v>87</v>
      </c>
      <c r="L218" t="str">
        <f>_xlfn.IFS(Vendite!F218&lt;'Dati di Supporto'!$O$3,'Dati di Supporto'!$P$2,Vendite!F218&lt;'Dati di Supporto'!$O$4,'Dati di Supporto'!$P$3,Vendite!F218&lt;'Dati di Supporto'!$O$5,'Dati di Supporto'!$P$4,Vendite!F218&lt;'Dati di Supporto'!$O$6,'Dati di Supporto'!$P$5,Vendite!F218&gt;'Dati di Supporto'!$O$6,'Dati di Supporto'!$P$6)</f>
        <v>Fascia 3 (da 800 €  a meno di 1200 €)</v>
      </c>
      <c r="M218" t="str">
        <f>_xlfn.IFS(G218='Dati di Supporto'!$O$10,'Dati di Supporto'!$P$10,Vendite!G218='Dati di Supporto'!$O$11,'Dati di Supporto'!$P$11,Vendite!G218='Dati di Supporto'!$O$12,'Dati di Supporto'!$P$12,Vendite!G218='Dati di Supporto'!$O$13,'Dati di Supporto'!$P$13,Vendite!G218='Dati di Supporto'!$O$14,'Dati di Supporto'!$P$14)</f>
        <v>Bonifico Bancario</v>
      </c>
    </row>
    <row r="219" spans="1:13" x14ac:dyDescent="0.3">
      <c r="A219" s="11">
        <v>218</v>
      </c>
      <c r="B219" s="6">
        <v>41649</v>
      </c>
      <c r="C219" s="1" t="s">
        <v>2</v>
      </c>
      <c r="D219" s="2" t="s">
        <v>113</v>
      </c>
      <c r="E219" s="2" t="s">
        <v>252</v>
      </c>
      <c r="F219" s="3">
        <v>1656</v>
      </c>
      <c r="G219" s="15">
        <v>5</v>
      </c>
      <c r="H219" t="str">
        <f>VLOOKUP(D219,'Dati di Supporto'!$B$2:$C$104,2,FALSE)</f>
        <v>Campania</v>
      </c>
      <c r="I219" t="str">
        <f>VLOOKUP(D219,'Dati di Supporto'!$B$2:$D$104,3,FALSE)</f>
        <v>SA</v>
      </c>
      <c r="J219" t="str">
        <f>VLOOKUP(H219,'Dati di Supporto'!$G$2:$H$21,2,FALSE)</f>
        <v>SUD</v>
      </c>
      <c r="K219">
        <f t="shared" si="3"/>
        <v>84</v>
      </c>
      <c r="L219" t="str">
        <f>_xlfn.IFS(Vendite!F219&lt;'Dati di Supporto'!$O$3,'Dati di Supporto'!$P$2,Vendite!F219&lt;'Dati di Supporto'!$O$4,'Dati di Supporto'!$P$3,Vendite!F219&lt;'Dati di Supporto'!$O$5,'Dati di Supporto'!$P$4,Vendite!F219&lt;'Dati di Supporto'!$O$6,'Dati di Supporto'!$P$5,Vendite!F219&gt;'Dati di Supporto'!$O$6,'Dati di Supporto'!$P$6)</f>
        <v>Fascia 5 (da 1500 € e oltre)</v>
      </c>
      <c r="M219" t="str">
        <f>_xlfn.IFS(G219='Dati di Supporto'!$O$10,'Dati di Supporto'!$P$10,Vendite!G219='Dati di Supporto'!$O$11,'Dati di Supporto'!$P$11,Vendite!G219='Dati di Supporto'!$O$12,'Dati di Supporto'!$P$12,Vendite!G219='Dati di Supporto'!$O$13,'Dati di Supporto'!$P$13,Vendite!G219='Dati di Supporto'!$O$14,'Dati di Supporto'!$P$14)</f>
        <v>Assegno Bancario</v>
      </c>
    </row>
    <row r="220" spans="1:13" x14ac:dyDescent="0.3">
      <c r="A220" s="11">
        <v>219</v>
      </c>
      <c r="B220" s="6">
        <v>41785</v>
      </c>
      <c r="C220" s="1" t="s">
        <v>247</v>
      </c>
      <c r="D220" s="2" t="s">
        <v>121</v>
      </c>
      <c r="E220" s="2" t="s">
        <v>250</v>
      </c>
      <c r="F220" s="3">
        <v>1792</v>
      </c>
      <c r="G220" s="15">
        <v>4</v>
      </c>
      <c r="H220" t="str">
        <f>VLOOKUP(D220,'Dati di Supporto'!$B$2:$C$104,2,FALSE)</f>
        <v>Umbria</v>
      </c>
      <c r="I220" t="str">
        <f>VLOOKUP(D220,'Dati di Supporto'!$B$2:$D$104,3,FALSE)</f>
        <v>TR</v>
      </c>
      <c r="J220" t="str">
        <f>VLOOKUP(H220,'Dati di Supporto'!$G$2:$H$21,2,FALSE)</f>
        <v>CENTRO</v>
      </c>
      <c r="K220">
        <f t="shared" si="3"/>
        <v>83</v>
      </c>
      <c r="L220" t="str">
        <f>_xlfn.IFS(Vendite!F220&lt;'Dati di Supporto'!$O$3,'Dati di Supporto'!$P$2,Vendite!F220&lt;'Dati di Supporto'!$O$4,'Dati di Supporto'!$P$3,Vendite!F220&lt;'Dati di Supporto'!$O$5,'Dati di Supporto'!$P$4,Vendite!F220&lt;'Dati di Supporto'!$O$6,'Dati di Supporto'!$P$5,Vendite!F220&gt;'Dati di Supporto'!$O$6,'Dati di Supporto'!$P$6)</f>
        <v>Fascia 5 (da 1500 € e oltre)</v>
      </c>
      <c r="M220" t="str">
        <f>_xlfn.IFS(G220='Dati di Supporto'!$O$10,'Dati di Supporto'!$P$10,Vendite!G220='Dati di Supporto'!$O$11,'Dati di Supporto'!$P$11,Vendite!G220='Dati di Supporto'!$O$12,'Dati di Supporto'!$P$12,Vendite!G220='Dati di Supporto'!$O$13,'Dati di Supporto'!$P$13,Vendite!G220='Dati di Supporto'!$O$14,'Dati di Supporto'!$P$14)</f>
        <v>Bollettino postale</v>
      </c>
    </row>
    <row r="221" spans="1:13" x14ac:dyDescent="0.3">
      <c r="A221" s="11">
        <v>220</v>
      </c>
      <c r="B221" s="6">
        <v>41777</v>
      </c>
      <c r="C221" s="1" t="s">
        <v>1</v>
      </c>
      <c r="D221" s="2" t="s">
        <v>211</v>
      </c>
      <c r="E221" s="2" t="s">
        <v>250</v>
      </c>
      <c r="F221" s="3">
        <v>454</v>
      </c>
      <c r="G221" s="15">
        <v>1</v>
      </c>
      <c r="H221" t="str">
        <f>VLOOKUP(D221,'Dati di Supporto'!$B$2:$C$104,2,FALSE)</f>
        <v>Calabria</v>
      </c>
      <c r="I221" t="str">
        <f>VLOOKUP(D221,'Dati di Supporto'!$B$2:$D$104,3,FALSE)</f>
        <v>RC</v>
      </c>
      <c r="J221" t="str">
        <f>VLOOKUP(H221,'Dati di Supporto'!$G$2:$H$21,2,FALSE)</f>
        <v>SUD</v>
      </c>
      <c r="K221">
        <f t="shared" si="3"/>
        <v>96</v>
      </c>
      <c r="L221" t="str">
        <f>_xlfn.IFS(Vendite!F221&lt;'Dati di Supporto'!$O$3,'Dati di Supporto'!$P$2,Vendite!F221&lt;'Dati di Supporto'!$O$4,'Dati di Supporto'!$P$3,Vendite!F221&lt;'Dati di Supporto'!$O$5,'Dati di Supporto'!$P$4,Vendite!F221&lt;'Dati di Supporto'!$O$6,'Dati di Supporto'!$P$5,Vendite!F221&gt;'Dati di Supporto'!$O$6,'Dati di Supporto'!$P$6)</f>
        <v>Fascia 2 (da 400 €  a meno di 800 €)</v>
      </c>
      <c r="M221" t="str">
        <f>_xlfn.IFS(G221='Dati di Supporto'!$O$10,'Dati di Supporto'!$P$10,Vendite!G221='Dati di Supporto'!$O$11,'Dati di Supporto'!$P$11,Vendite!G221='Dati di Supporto'!$O$12,'Dati di Supporto'!$P$12,Vendite!G221='Dati di Supporto'!$O$13,'Dati di Supporto'!$P$13,Vendite!G221='Dati di Supporto'!$O$14,'Dati di Supporto'!$P$14)</f>
        <v>Contanti</v>
      </c>
    </row>
    <row r="222" spans="1:13" x14ac:dyDescent="0.3">
      <c r="A222" s="11">
        <v>221</v>
      </c>
      <c r="B222" s="6">
        <v>41698</v>
      </c>
      <c r="C222" s="1" t="s">
        <v>247</v>
      </c>
      <c r="D222" s="2" t="s">
        <v>115</v>
      </c>
      <c r="E222" s="2" t="s">
        <v>10</v>
      </c>
      <c r="F222" s="3">
        <v>1337</v>
      </c>
      <c r="G222" s="15">
        <v>2</v>
      </c>
      <c r="H222" t="str">
        <f>VLOOKUP(D222,'Dati di Supporto'!$B$2:$C$104,2,FALSE)</f>
        <v>Liguria</v>
      </c>
      <c r="I222" t="str">
        <f>VLOOKUP(D222,'Dati di Supporto'!$B$2:$D$104,3,FALSE)</f>
        <v>SV</v>
      </c>
      <c r="J222" t="str">
        <f>VLOOKUP(H222,'Dati di Supporto'!$G$2:$H$21,2,FALSE)</f>
        <v>NORD</v>
      </c>
      <c r="K222">
        <f t="shared" si="3"/>
        <v>83</v>
      </c>
      <c r="L222" t="str">
        <f>_xlfn.IFS(Vendite!F222&lt;'Dati di Supporto'!$O$3,'Dati di Supporto'!$P$2,Vendite!F222&lt;'Dati di Supporto'!$O$4,'Dati di Supporto'!$P$3,Vendite!F222&lt;'Dati di Supporto'!$O$5,'Dati di Supporto'!$P$4,Vendite!F222&lt;'Dati di Supporto'!$O$6,'Dati di Supporto'!$P$5,Vendite!F222&gt;'Dati di Supporto'!$O$6,'Dati di Supporto'!$P$6)</f>
        <v>Fascia 4 (da 1200 €  a meno di 1500 €)</v>
      </c>
      <c r="M222" t="str">
        <f>_xlfn.IFS(G222='Dati di Supporto'!$O$10,'Dati di Supporto'!$P$10,Vendite!G222='Dati di Supporto'!$O$11,'Dati di Supporto'!$P$11,Vendite!G222='Dati di Supporto'!$O$12,'Dati di Supporto'!$P$12,Vendite!G222='Dati di Supporto'!$O$13,'Dati di Supporto'!$P$13,Vendite!G222='Dati di Supporto'!$O$14,'Dati di Supporto'!$P$14)</f>
        <v>Bonifico Bancario</v>
      </c>
    </row>
    <row r="223" spans="1:13" x14ac:dyDescent="0.3">
      <c r="A223" s="11">
        <v>222</v>
      </c>
      <c r="B223" s="6">
        <v>41692</v>
      </c>
      <c r="C223" s="1" t="s">
        <v>1</v>
      </c>
      <c r="D223" s="2" t="s">
        <v>98</v>
      </c>
      <c r="E223" s="2" t="s">
        <v>251</v>
      </c>
      <c r="F223" s="3">
        <v>986</v>
      </c>
      <c r="G223" s="15">
        <v>4</v>
      </c>
      <c r="H223" t="str">
        <f>VLOOKUP(D223,'Dati di Supporto'!$B$2:$C$104,2,FALSE)</f>
        <v>Umbria</v>
      </c>
      <c r="I223" t="str">
        <f>VLOOKUP(D223,'Dati di Supporto'!$B$2:$D$104,3,FALSE)</f>
        <v>PG</v>
      </c>
      <c r="J223" t="str">
        <f>VLOOKUP(H223,'Dati di Supporto'!$G$2:$H$21,2,FALSE)</f>
        <v>CENTRO</v>
      </c>
      <c r="K223">
        <f t="shared" si="3"/>
        <v>96</v>
      </c>
      <c r="L223" t="str">
        <f>_xlfn.IFS(Vendite!F223&lt;'Dati di Supporto'!$O$3,'Dati di Supporto'!$P$2,Vendite!F223&lt;'Dati di Supporto'!$O$4,'Dati di Supporto'!$P$3,Vendite!F223&lt;'Dati di Supporto'!$O$5,'Dati di Supporto'!$P$4,Vendite!F223&lt;'Dati di Supporto'!$O$6,'Dati di Supporto'!$P$5,Vendite!F223&gt;'Dati di Supporto'!$O$6,'Dati di Supporto'!$P$6)</f>
        <v>Fascia 3 (da 800 €  a meno di 1200 €)</v>
      </c>
      <c r="M223" t="str">
        <f>_xlfn.IFS(G223='Dati di Supporto'!$O$10,'Dati di Supporto'!$P$10,Vendite!G223='Dati di Supporto'!$O$11,'Dati di Supporto'!$P$11,Vendite!G223='Dati di Supporto'!$O$12,'Dati di Supporto'!$P$12,Vendite!G223='Dati di Supporto'!$O$13,'Dati di Supporto'!$P$13,Vendite!G223='Dati di Supporto'!$O$14,'Dati di Supporto'!$P$14)</f>
        <v>Bollettino postale</v>
      </c>
    </row>
    <row r="224" spans="1:13" x14ac:dyDescent="0.3">
      <c r="A224" s="11">
        <v>223</v>
      </c>
      <c r="B224" s="6">
        <v>41776</v>
      </c>
      <c r="C224" s="1" t="s">
        <v>3</v>
      </c>
      <c r="D224" s="2" t="s">
        <v>128</v>
      </c>
      <c r="E224" s="2" t="s">
        <v>252</v>
      </c>
      <c r="F224" s="3">
        <v>348</v>
      </c>
      <c r="G224" s="15">
        <v>2</v>
      </c>
      <c r="H224" t="str">
        <f>VLOOKUP(D224,'Dati di Supporto'!$B$2:$C$104,2,FALSE)</f>
        <v>Lombardia</v>
      </c>
      <c r="I224" t="str">
        <f>VLOOKUP(D224,'Dati di Supporto'!$B$2:$D$104,3,FALSE)</f>
        <v>VA</v>
      </c>
      <c r="J224" t="str">
        <f>VLOOKUP(H224,'Dati di Supporto'!$G$2:$H$21,2,FALSE)</f>
        <v>NORD</v>
      </c>
      <c r="K224">
        <f t="shared" si="3"/>
        <v>87</v>
      </c>
      <c r="L224" t="str">
        <f>_xlfn.IFS(Vendite!F224&lt;'Dati di Supporto'!$O$3,'Dati di Supporto'!$P$2,Vendite!F224&lt;'Dati di Supporto'!$O$4,'Dati di Supporto'!$P$3,Vendite!F224&lt;'Dati di Supporto'!$O$5,'Dati di Supporto'!$P$4,Vendite!F224&lt;'Dati di Supporto'!$O$6,'Dati di Supporto'!$P$5,Vendite!F224&gt;'Dati di Supporto'!$O$6,'Dati di Supporto'!$P$6)</f>
        <v>Fascia 1 (inferiore a 400 €)</v>
      </c>
      <c r="M224" t="str">
        <f>_xlfn.IFS(G224='Dati di Supporto'!$O$10,'Dati di Supporto'!$P$10,Vendite!G224='Dati di Supporto'!$O$11,'Dati di Supporto'!$P$11,Vendite!G224='Dati di Supporto'!$O$12,'Dati di Supporto'!$P$12,Vendite!G224='Dati di Supporto'!$O$13,'Dati di Supporto'!$P$13,Vendite!G224='Dati di Supporto'!$O$14,'Dati di Supporto'!$P$14)</f>
        <v>Bonifico Bancario</v>
      </c>
    </row>
    <row r="225" spans="1:13" x14ac:dyDescent="0.3">
      <c r="A225" s="11">
        <v>224</v>
      </c>
      <c r="B225" s="6">
        <v>41679</v>
      </c>
      <c r="C225" s="1" t="s">
        <v>2</v>
      </c>
      <c r="D225" s="2" t="s">
        <v>124</v>
      </c>
      <c r="E225" s="2" t="s">
        <v>11</v>
      </c>
      <c r="F225" s="3">
        <v>582</v>
      </c>
      <c r="G225" s="15">
        <v>3</v>
      </c>
      <c r="H225" t="str">
        <f>VLOOKUP(D225,'Dati di Supporto'!$B$2:$C$104,2,FALSE)</f>
        <v>Trentino-Alto Adige</v>
      </c>
      <c r="I225" t="str">
        <f>VLOOKUP(D225,'Dati di Supporto'!$B$2:$D$104,3,FALSE)</f>
        <v>TN</v>
      </c>
      <c r="J225" t="str">
        <f>VLOOKUP(H225,'Dati di Supporto'!$G$2:$H$21,2,FALSE)</f>
        <v>NORD</v>
      </c>
      <c r="K225">
        <f t="shared" si="3"/>
        <v>84</v>
      </c>
      <c r="L225" t="str">
        <f>_xlfn.IFS(Vendite!F225&lt;'Dati di Supporto'!$O$3,'Dati di Supporto'!$P$2,Vendite!F225&lt;'Dati di Supporto'!$O$4,'Dati di Supporto'!$P$3,Vendite!F225&lt;'Dati di Supporto'!$O$5,'Dati di Supporto'!$P$4,Vendite!F225&lt;'Dati di Supporto'!$O$6,'Dati di Supporto'!$P$5,Vendite!F225&gt;'Dati di Supporto'!$O$6,'Dati di Supporto'!$P$6)</f>
        <v>Fascia 2 (da 400 €  a meno di 800 €)</v>
      </c>
      <c r="M225" t="str">
        <f>_xlfn.IFS(G225='Dati di Supporto'!$O$10,'Dati di Supporto'!$P$10,Vendite!G225='Dati di Supporto'!$O$11,'Dati di Supporto'!$P$11,Vendite!G225='Dati di Supporto'!$O$12,'Dati di Supporto'!$P$12,Vendite!G225='Dati di Supporto'!$O$13,'Dati di Supporto'!$P$13,Vendite!G225='Dati di Supporto'!$O$14,'Dati di Supporto'!$P$14)</f>
        <v>Carta di credito</v>
      </c>
    </row>
    <row r="226" spans="1:13" x14ac:dyDescent="0.3">
      <c r="A226" s="11">
        <v>225</v>
      </c>
      <c r="B226" s="6">
        <v>41659</v>
      </c>
      <c r="C226" s="1" t="s">
        <v>1</v>
      </c>
      <c r="D226" s="2" t="s">
        <v>105</v>
      </c>
      <c r="E226" s="2" t="s">
        <v>251</v>
      </c>
      <c r="F226" s="3">
        <v>634</v>
      </c>
      <c r="G226" s="15">
        <v>2</v>
      </c>
      <c r="H226" t="str">
        <f>VLOOKUP(D226,'Dati di Supporto'!$B$2:$C$104,2,FALSE)</f>
        <v>Basilicata</v>
      </c>
      <c r="I226" t="str">
        <f>VLOOKUP(D226,'Dati di Supporto'!$B$2:$D$104,3,FALSE)</f>
        <v>PZ</v>
      </c>
      <c r="J226" t="str">
        <f>VLOOKUP(H226,'Dati di Supporto'!$G$2:$H$21,2,FALSE)</f>
        <v>SUD</v>
      </c>
      <c r="K226">
        <f t="shared" si="3"/>
        <v>96</v>
      </c>
      <c r="L226" t="str">
        <f>_xlfn.IFS(Vendite!F226&lt;'Dati di Supporto'!$O$3,'Dati di Supporto'!$P$2,Vendite!F226&lt;'Dati di Supporto'!$O$4,'Dati di Supporto'!$P$3,Vendite!F226&lt;'Dati di Supporto'!$O$5,'Dati di Supporto'!$P$4,Vendite!F226&lt;'Dati di Supporto'!$O$6,'Dati di Supporto'!$P$5,Vendite!F226&gt;'Dati di Supporto'!$O$6,'Dati di Supporto'!$P$6)</f>
        <v>Fascia 2 (da 400 €  a meno di 800 €)</v>
      </c>
      <c r="M226" t="str">
        <f>_xlfn.IFS(G226='Dati di Supporto'!$O$10,'Dati di Supporto'!$P$10,Vendite!G226='Dati di Supporto'!$O$11,'Dati di Supporto'!$P$11,Vendite!G226='Dati di Supporto'!$O$12,'Dati di Supporto'!$P$12,Vendite!G226='Dati di Supporto'!$O$13,'Dati di Supporto'!$P$13,Vendite!G226='Dati di Supporto'!$O$14,'Dati di Supporto'!$P$14)</f>
        <v>Bonifico Bancario</v>
      </c>
    </row>
    <row r="227" spans="1:13" x14ac:dyDescent="0.3">
      <c r="A227" s="11">
        <v>226</v>
      </c>
      <c r="B227" s="6">
        <v>41749</v>
      </c>
      <c r="C227" s="1" t="s">
        <v>247</v>
      </c>
      <c r="D227" s="2" t="s">
        <v>114</v>
      </c>
      <c r="E227" s="2" t="s">
        <v>11</v>
      </c>
      <c r="F227" s="3">
        <v>282</v>
      </c>
      <c r="G227" s="15">
        <v>3</v>
      </c>
      <c r="H227" t="str">
        <f>VLOOKUP(D227,'Dati di Supporto'!$B$2:$C$104,2,FALSE)</f>
        <v>Sardegna</v>
      </c>
      <c r="I227" t="str">
        <f>VLOOKUP(D227,'Dati di Supporto'!$B$2:$D$104,3,FALSE)</f>
        <v>SS</v>
      </c>
      <c r="J227" t="str">
        <f>VLOOKUP(H227,'Dati di Supporto'!$G$2:$H$21,2,FALSE)</f>
        <v>ISOLE</v>
      </c>
      <c r="K227">
        <f t="shared" si="3"/>
        <v>83</v>
      </c>
      <c r="L227" t="str">
        <f>_xlfn.IFS(Vendite!F227&lt;'Dati di Supporto'!$O$3,'Dati di Supporto'!$P$2,Vendite!F227&lt;'Dati di Supporto'!$O$4,'Dati di Supporto'!$P$3,Vendite!F227&lt;'Dati di Supporto'!$O$5,'Dati di Supporto'!$P$4,Vendite!F227&lt;'Dati di Supporto'!$O$6,'Dati di Supporto'!$P$5,Vendite!F227&gt;'Dati di Supporto'!$O$6,'Dati di Supporto'!$P$6)</f>
        <v>Fascia 1 (inferiore a 400 €)</v>
      </c>
      <c r="M227" t="str">
        <f>_xlfn.IFS(G227='Dati di Supporto'!$O$10,'Dati di Supporto'!$P$10,Vendite!G227='Dati di Supporto'!$O$11,'Dati di Supporto'!$P$11,Vendite!G227='Dati di Supporto'!$O$12,'Dati di Supporto'!$P$12,Vendite!G227='Dati di Supporto'!$O$13,'Dati di Supporto'!$P$13,Vendite!G227='Dati di Supporto'!$O$14,'Dati di Supporto'!$P$14)</f>
        <v>Carta di credito</v>
      </c>
    </row>
    <row r="228" spans="1:13" x14ac:dyDescent="0.3">
      <c r="A228" s="11">
        <v>227</v>
      </c>
      <c r="B228" s="6">
        <v>41755</v>
      </c>
      <c r="C228" s="1" t="s">
        <v>3</v>
      </c>
      <c r="D228" s="2" t="s">
        <v>102</v>
      </c>
      <c r="E228" s="2" t="s">
        <v>251</v>
      </c>
      <c r="F228" s="3">
        <v>481</v>
      </c>
      <c r="G228" s="15">
        <v>4</v>
      </c>
      <c r="H228" t="str">
        <f>VLOOKUP(D228,'Dati di Supporto'!$B$2:$C$104,2,FALSE)</f>
        <v>Toscana</v>
      </c>
      <c r="I228" t="str">
        <f>VLOOKUP(D228,'Dati di Supporto'!$B$2:$D$104,3,FALSE)</f>
        <v>PI</v>
      </c>
      <c r="J228" t="str">
        <f>VLOOKUP(H228,'Dati di Supporto'!$G$2:$H$21,2,FALSE)</f>
        <v>CENTRO</v>
      </c>
      <c r="K228">
        <f t="shared" si="3"/>
        <v>87</v>
      </c>
      <c r="L228" t="str">
        <f>_xlfn.IFS(Vendite!F228&lt;'Dati di Supporto'!$O$3,'Dati di Supporto'!$P$2,Vendite!F228&lt;'Dati di Supporto'!$O$4,'Dati di Supporto'!$P$3,Vendite!F228&lt;'Dati di Supporto'!$O$5,'Dati di Supporto'!$P$4,Vendite!F228&lt;'Dati di Supporto'!$O$6,'Dati di Supporto'!$P$5,Vendite!F228&gt;'Dati di Supporto'!$O$6,'Dati di Supporto'!$P$6)</f>
        <v>Fascia 2 (da 400 €  a meno di 800 €)</v>
      </c>
      <c r="M228" t="str">
        <f>_xlfn.IFS(G228='Dati di Supporto'!$O$10,'Dati di Supporto'!$P$10,Vendite!G228='Dati di Supporto'!$O$11,'Dati di Supporto'!$P$11,Vendite!G228='Dati di Supporto'!$O$12,'Dati di Supporto'!$P$12,Vendite!G228='Dati di Supporto'!$O$13,'Dati di Supporto'!$P$13,Vendite!G228='Dati di Supporto'!$O$14,'Dati di Supporto'!$P$14)</f>
        <v>Bollettino postale</v>
      </c>
    </row>
    <row r="229" spans="1:13" x14ac:dyDescent="0.3">
      <c r="A229" s="11">
        <v>228</v>
      </c>
      <c r="B229" s="6">
        <v>41725</v>
      </c>
      <c r="C229" s="1" t="s">
        <v>247</v>
      </c>
      <c r="D229" s="2" t="s">
        <v>112</v>
      </c>
      <c r="E229" s="2" t="s">
        <v>250</v>
      </c>
      <c r="F229" s="3">
        <v>1441</v>
      </c>
      <c r="G229" s="15">
        <v>5</v>
      </c>
      <c r="H229" t="str">
        <f>VLOOKUP(D229,'Dati di Supporto'!$B$2:$C$104,2,FALSE)</f>
        <v>Veneto</v>
      </c>
      <c r="I229" t="str">
        <f>VLOOKUP(D229,'Dati di Supporto'!$B$2:$D$104,3,FALSE)</f>
        <v>RO</v>
      </c>
      <c r="J229" t="str">
        <f>VLOOKUP(H229,'Dati di Supporto'!$G$2:$H$21,2,FALSE)</f>
        <v>NORD</v>
      </c>
      <c r="K229">
        <f t="shared" si="3"/>
        <v>83</v>
      </c>
      <c r="L229" t="str">
        <f>_xlfn.IFS(Vendite!F229&lt;'Dati di Supporto'!$O$3,'Dati di Supporto'!$P$2,Vendite!F229&lt;'Dati di Supporto'!$O$4,'Dati di Supporto'!$P$3,Vendite!F229&lt;'Dati di Supporto'!$O$5,'Dati di Supporto'!$P$4,Vendite!F229&lt;'Dati di Supporto'!$O$6,'Dati di Supporto'!$P$5,Vendite!F229&gt;'Dati di Supporto'!$O$6,'Dati di Supporto'!$P$6)</f>
        <v>Fascia 4 (da 1200 €  a meno di 1500 €)</v>
      </c>
      <c r="M229" t="str">
        <f>_xlfn.IFS(G229='Dati di Supporto'!$O$10,'Dati di Supporto'!$P$10,Vendite!G229='Dati di Supporto'!$O$11,'Dati di Supporto'!$P$11,Vendite!G229='Dati di Supporto'!$O$12,'Dati di Supporto'!$P$12,Vendite!G229='Dati di Supporto'!$O$13,'Dati di Supporto'!$P$13,Vendite!G229='Dati di Supporto'!$O$14,'Dati di Supporto'!$P$14)</f>
        <v>Assegno Bancario</v>
      </c>
    </row>
    <row r="230" spans="1:13" x14ac:dyDescent="0.3">
      <c r="A230" s="11">
        <v>229</v>
      </c>
      <c r="B230" s="6">
        <v>41805</v>
      </c>
      <c r="C230" s="1" t="s">
        <v>3</v>
      </c>
      <c r="D230" s="2" t="s">
        <v>115</v>
      </c>
      <c r="E230" s="2" t="s">
        <v>250</v>
      </c>
      <c r="F230" s="3">
        <v>808</v>
      </c>
      <c r="G230" s="15">
        <v>4</v>
      </c>
      <c r="H230" t="str">
        <f>VLOOKUP(D230,'Dati di Supporto'!$B$2:$C$104,2,FALSE)</f>
        <v>Liguria</v>
      </c>
      <c r="I230" t="str">
        <f>VLOOKUP(D230,'Dati di Supporto'!$B$2:$D$104,3,FALSE)</f>
        <v>SV</v>
      </c>
      <c r="J230" t="str">
        <f>VLOOKUP(H230,'Dati di Supporto'!$G$2:$H$21,2,FALSE)</f>
        <v>NORD</v>
      </c>
      <c r="K230">
        <f t="shared" si="3"/>
        <v>87</v>
      </c>
      <c r="L230" t="str">
        <f>_xlfn.IFS(Vendite!F230&lt;'Dati di Supporto'!$O$3,'Dati di Supporto'!$P$2,Vendite!F230&lt;'Dati di Supporto'!$O$4,'Dati di Supporto'!$P$3,Vendite!F230&lt;'Dati di Supporto'!$O$5,'Dati di Supporto'!$P$4,Vendite!F230&lt;'Dati di Supporto'!$O$6,'Dati di Supporto'!$P$5,Vendite!F230&gt;'Dati di Supporto'!$O$6,'Dati di Supporto'!$P$6)</f>
        <v>Fascia 3 (da 800 €  a meno di 1200 €)</v>
      </c>
      <c r="M230" t="str">
        <f>_xlfn.IFS(G230='Dati di Supporto'!$O$10,'Dati di Supporto'!$P$10,Vendite!G230='Dati di Supporto'!$O$11,'Dati di Supporto'!$P$11,Vendite!G230='Dati di Supporto'!$O$12,'Dati di Supporto'!$P$12,Vendite!G230='Dati di Supporto'!$O$13,'Dati di Supporto'!$P$13,Vendite!G230='Dati di Supporto'!$O$14,'Dati di Supporto'!$P$14)</f>
        <v>Bollettino postale</v>
      </c>
    </row>
    <row r="231" spans="1:13" x14ac:dyDescent="0.3">
      <c r="A231" s="11">
        <v>230</v>
      </c>
      <c r="B231" s="6">
        <v>41656</v>
      </c>
      <c r="C231" s="1" t="s">
        <v>3</v>
      </c>
      <c r="D231" s="2" t="s">
        <v>129</v>
      </c>
      <c r="E231" s="2" t="s">
        <v>10</v>
      </c>
      <c r="F231" s="3">
        <v>1874</v>
      </c>
      <c r="G231" s="15">
        <v>5</v>
      </c>
      <c r="H231" t="str">
        <f>VLOOKUP(D231,'Dati di Supporto'!$B$2:$C$104,2,FALSE)</f>
        <v>Veneto</v>
      </c>
      <c r="I231" t="str">
        <f>VLOOKUP(D231,'Dati di Supporto'!$B$2:$D$104,3,FALSE)</f>
        <v>VE</v>
      </c>
      <c r="J231" t="str">
        <f>VLOOKUP(H231,'Dati di Supporto'!$G$2:$H$21,2,FALSE)</f>
        <v>NORD</v>
      </c>
      <c r="K231">
        <f t="shared" si="3"/>
        <v>87</v>
      </c>
      <c r="L231" t="str">
        <f>_xlfn.IFS(Vendite!F231&lt;'Dati di Supporto'!$O$3,'Dati di Supporto'!$P$2,Vendite!F231&lt;'Dati di Supporto'!$O$4,'Dati di Supporto'!$P$3,Vendite!F231&lt;'Dati di Supporto'!$O$5,'Dati di Supporto'!$P$4,Vendite!F231&lt;'Dati di Supporto'!$O$6,'Dati di Supporto'!$P$5,Vendite!F231&gt;'Dati di Supporto'!$O$6,'Dati di Supporto'!$P$6)</f>
        <v>Fascia 5 (da 1500 € e oltre)</v>
      </c>
      <c r="M231" t="str">
        <f>_xlfn.IFS(G231='Dati di Supporto'!$O$10,'Dati di Supporto'!$P$10,Vendite!G231='Dati di Supporto'!$O$11,'Dati di Supporto'!$P$11,Vendite!G231='Dati di Supporto'!$O$12,'Dati di Supporto'!$P$12,Vendite!G231='Dati di Supporto'!$O$13,'Dati di Supporto'!$P$13,Vendite!G231='Dati di Supporto'!$O$14,'Dati di Supporto'!$P$14)</f>
        <v>Assegno Bancario</v>
      </c>
    </row>
    <row r="232" spans="1:13" x14ac:dyDescent="0.3">
      <c r="A232" s="11">
        <v>231</v>
      </c>
      <c r="B232" s="6">
        <v>41660</v>
      </c>
      <c r="C232" s="1" t="s">
        <v>2</v>
      </c>
      <c r="D232" s="2" t="s">
        <v>105</v>
      </c>
      <c r="E232" s="2" t="s">
        <v>252</v>
      </c>
      <c r="F232" s="3">
        <v>965</v>
      </c>
      <c r="G232" s="15">
        <v>1</v>
      </c>
      <c r="H232" t="str">
        <f>VLOOKUP(D232,'Dati di Supporto'!$B$2:$C$104,2,FALSE)</f>
        <v>Basilicata</v>
      </c>
      <c r="I232" t="str">
        <f>VLOOKUP(D232,'Dati di Supporto'!$B$2:$D$104,3,FALSE)</f>
        <v>PZ</v>
      </c>
      <c r="J232" t="str">
        <f>VLOOKUP(H232,'Dati di Supporto'!$G$2:$H$21,2,FALSE)</f>
        <v>SUD</v>
      </c>
      <c r="K232">
        <f t="shared" si="3"/>
        <v>84</v>
      </c>
      <c r="L232" t="str">
        <f>_xlfn.IFS(Vendite!F232&lt;'Dati di Supporto'!$O$3,'Dati di Supporto'!$P$2,Vendite!F232&lt;'Dati di Supporto'!$O$4,'Dati di Supporto'!$P$3,Vendite!F232&lt;'Dati di Supporto'!$O$5,'Dati di Supporto'!$P$4,Vendite!F232&lt;'Dati di Supporto'!$O$6,'Dati di Supporto'!$P$5,Vendite!F232&gt;'Dati di Supporto'!$O$6,'Dati di Supporto'!$P$6)</f>
        <v>Fascia 3 (da 800 €  a meno di 1200 €)</v>
      </c>
      <c r="M232" t="str">
        <f>_xlfn.IFS(G232='Dati di Supporto'!$O$10,'Dati di Supporto'!$P$10,Vendite!G232='Dati di Supporto'!$O$11,'Dati di Supporto'!$P$11,Vendite!G232='Dati di Supporto'!$O$12,'Dati di Supporto'!$P$12,Vendite!G232='Dati di Supporto'!$O$13,'Dati di Supporto'!$P$13,Vendite!G232='Dati di Supporto'!$O$14,'Dati di Supporto'!$P$14)</f>
        <v>Contanti</v>
      </c>
    </row>
    <row r="233" spans="1:13" x14ac:dyDescent="0.3">
      <c r="A233" s="11">
        <v>232</v>
      </c>
      <c r="B233" s="6">
        <v>41657</v>
      </c>
      <c r="C233" s="1" t="s">
        <v>2</v>
      </c>
      <c r="D233" s="2" t="s">
        <v>108</v>
      </c>
      <c r="E233" s="2" t="s">
        <v>11</v>
      </c>
      <c r="F233" s="3">
        <v>93</v>
      </c>
      <c r="G233" s="15">
        <v>1</v>
      </c>
      <c r="H233" t="str">
        <f>VLOOKUP(D233,'Dati di Supporto'!$B$2:$C$104,2,FALSE)</f>
        <v>Emilia-Romagna</v>
      </c>
      <c r="I233" t="str">
        <f>VLOOKUP(D233,'Dati di Supporto'!$B$2:$D$104,3,FALSE)</f>
        <v>RA</v>
      </c>
      <c r="J233" t="str">
        <f>VLOOKUP(H233,'Dati di Supporto'!$G$2:$H$21,2,FALSE)</f>
        <v>NORD</v>
      </c>
      <c r="K233">
        <f t="shared" si="3"/>
        <v>84</v>
      </c>
      <c r="L233" t="str">
        <f>_xlfn.IFS(Vendite!F233&lt;'Dati di Supporto'!$O$3,'Dati di Supporto'!$P$2,Vendite!F233&lt;'Dati di Supporto'!$O$4,'Dati di Supporto'!$P$3,Vendite!F233&lt;'Dati di Supporto'!$O$5,'Dati di Supporto'!$P$4,Vendite!F233&lt;'Dati di Supporto'!$O$6,'Dati di Supporto'!$P$5,Vendite!F233&gt;'Dati di Supporto'!$O$6,'Dati di Supporto'!$P$6)</f>
        <v>Fascia 1 (inferiore a 400 €)</v>
      </c>
      <c r="M233" t="str">
        <f>_xlfn.IFS(G233='Dati di Supporto'!$O$10,'Dati di Supporto'!$P$10,Vendite!G233='Dati di Supporto'!$O$11,'Dati di Supporto'!$P$11,Vendite!G233='Dati di Supporto'!$O$12,'Dati di Supporto'!$P$12,Vendite!G233='Dati di Supporto'!$O$13,'Dati di Supporto'!$P$13,Vendite!G233='Dati di Supporto'!$O$14,'Dati di Supporto'!$P$14)</f>
        <v>Contanti</v>
      </c>
    </row>
    <row r="234" spans="1:13" x14ac:dyDescent="0.3">
      <c r="A234" s="11">
        <v>233</v>
      </c>
      <c r="B234" s="6">
        <v>41661</v>
      </c>
      <c r="C234" s="1" t="s">
        <v>247</v>
      </c>
      <c r="D234" s="2" t="s">
        <v>124</v>
      </c>
      <c r="E234" s="2" t="s">
        <v>250</v>
      </c>
      <c r="F234" s="3">
        <v>1774</v>
      </c>
      <c r="G234" s="15">
        <v>3</v>
      </c>
      <c r="H234" t="str">
        <f>VLOOKUP(D234,'Dati di Supporto'!$B$2:$C$104,2,FALSE)</f>
        <v>Trentino-Alto Adige</v>
      </c>
      <c r="I234" t="str">
        <f>VLOOKUP(D234,'Dati di Supporto'!$B$2:$D$104,3,FALSE)</f>
        <v>TN</v>
      </c>
      <c r="J234" t="str">
        <f>VLOOKUP(H234,'Dati di Supporto'!$G$2:$H$21,2,FALSE)</f>
        <v>NORD</v>
      </c>
      <c r="K234">
        <f t="shared" si="3"/>
        <v>83</v>
      </c>
      <c r="L234" t="str">
        <f>_xlfn.IFS(Vendite!F234&lt;'Dati di Supporto'!$O$3,'Dati di Supporto'!$P$2,Vendite!F234&lt;'Dati di Supporto'!$O$4,'Dati di Supporto'!$P$3,Vendite!F234&lt;'Dati di Supporto'!$O$5,'Dati di Supporto'!$P$4,Vendite!F234&lt;'Dati di Supporto'!$O$6,'Dati di Supporto'!$P$5,Vendite!F234&gt;'Dati di Supporto'!$O$6,'Dati di Supporto'!$P$6)</f>
        <v>Fascia 5 (da 1500 € e oltre)</v>
      </c>
      <c r="M234" t="str">
        <f>_xlfn.IFS(G234='Dati di Supporto'!$O$10,'Dati di Supporto'!$P$10,Vendite!G234='Dati di Supporto'!$O$11,'Dati di Supporto'!$P$11,Vendite!G234='Dati di Supporto'!$O$12,'Dati di Supporto'!$P$12,Vendite!G234='Dati di Supporto'!$O$13,'Dati di Supporto'!$P$13,Vendite!G234='Dati di Supporto'!$O$14,'Dati di Supporto'!$P$14)</f>
        <v>Carta di credito</v>
      </c>
    </row>
    <row r="235" spans="1:13" x14ac:dyDescent="0.3">
      <c r="A235" s="11">
        <v>234</v>
      </c>
      <c r="B235" s="6">
        <v>41800</v>
      </c>
      <c r="C235" s="1" t="s">
        <v>2</v>
      </c>
      <c r="D235" s="2" t="s">
        <v>122</v>
      </c>
      <c r="E235" s="2" t="s">
        <v>251</v>
      </c>
      <c r="F235" s="3">
        <v>217</v>
      </c>
      <c r="G235" s="15">
        <v>5</v>
      </c>
      <c r="H235" t="str">
        <f>VLOOKUP(D235,'Dati di Supporto'!$B$2:$C$104,2,FALSE)</f>
        <v>Piemonte</v>
      </c>
      <c r="I235" t="str">
        <f>VLOOKUP(D235,'Dati di Supporto'!$B$2:$D$104,3,FALSE)</f>
        <v>TO</v>
      </c>
      <c r="J235" t="str">
        <f>VLOOKUP(H235,'Dati di Supporto'!$G$2:$H$21,2,FALSE)</f>
        <v>NORD</v>
      </c>
      <c r="K235">
        <f t="shared" si="3"/>
        <v>84</v>
      </c>
      <c r="L235" t="str">
        <f>_xlfn.IFS(Vendite!F235&lt;'Dati di Supporto'!$O$3,'Dati di Supporto'!$P$2,Vendite!F235&lt;'Dati di Supporto'!$O$4,'Dati di Supporto'!$P$3,Vendite!F235&lt;'Dati di Supporto'!$O$5,'Dati di Supporto'!$P$4,Vendite!F235&lt;'Dati di Supporto'!$O$6,'Dati di Supporto'!$P$5,Vendite!F235&gt;'Dati di Supporto'!$O$6,'Dati di Supporto'!$P$6)</f>
        <v>Fascia 1 (inferiore a 400 €)</v>
      </c>
      <c r="M235" t="str">
        <f>_xlfn.IFS(G235='Dati di Supporto'!$O$10,'Dati di Supporto'!$P$10,Vendite!G235='Dati di Supporto'!$O$11,'Dati di Supporto'!$P$11,Vendite!G235='Dati di Supporto'!$O$12,'Dati di Supporto'!$P$12,Vendite!G235='Dati di Supporto'!$O$13,'Dati di Supporto'!$P$13,Vendite!G235='Dati di Supporto'!$O$14,'Dati di Supporto'!$P$14)</f>
        <v>Assegno Bancario</v>
      </c>
    </row>
    <row r="236" spans="1:13" x14ac:dyDescent="0.3">
      <c r="A236" s="11">
        <v>235</v>
      </c>
      <c r="B236" s="6">
        <v>41766</v>
      </c>
      <c r="C236" s="1" t="s">
        <v>1</v>
      </c>
      <c r="D236" s="2" t="s">
        <v>131</v>
      </c>
      <c r="E236" s="2" t="s">
        <v>11</v>
      </c>
      <c r="F236" s="3">
        <v>737</v>
      </c>
      <c r="G236" s="15">
        <v>3</v>
      </c>
      <c r="H236" t="str">
        <f>VLOOKUP(D236,'Dati di Supporto'!$B$2:$C$104,2,FALSE)</f>
        <v>Piemonte</v>
      </c>
      <c r="I236" t="str">
        <f>VLOOKUP(D236,'Dati di Supporto'!$B$2:$D$104,3,FALSE)</f>
        <v>VC</v>
      </c>
      <c r="J236" t="str">
        <f>VLOOKUP(H236,'Dati di Supporto'!$G$2:$H$21,2,FALSE)</f>
        <v>NORD</v>
      </c>
      <c r="K236">
        <f t="shared" si="3"/>
        <v>96</v>
      </c>
      <c r="L236" t="str">
        <f>_xlfn.IFS(Vendite!F236&lt;'Dati di Supporto'!$O$3,'Dati di Supporto'!$P$2,Vendite!F236&lt;'Dati di Supporto'!$O$4,'Dati di Supporto'!$P$3,Vendite!F236&lt;'Dati di Supporto'!$O$5,'Dati di Supporto'!$P$4,Vendite!F236&lt;'Dati di Supporto'!$O$6,'Dati di Supporto'!$P$5,Vendite!F236&gt;'Dati di Supporto'!$O$6,'Dati di Supporto'!$P$6)</f>
        <v>Fascia 2 (da 400 €  a meno di 800 €)</v>
      </c>
      <c r="M236" t="str">
        <f>_xlfn.IFS(G236='Dati di Supporto'!$O$10,'Dati di Supporto'!$P$10,Vendite!G236='Dati di Supporto'!$O$11,'Dati di Supporto'!$P$11,Vendite!G236='Dati di Supporto'!$O$12,'Dati di Supporto'!$P$12,Vendite!G236='Dati di Supporto'!$O$13,'Dati di Supporto'!$P$13,Vendite!G236='Dati di Supporto'!$O$14,'Dati di Supporto'!$P$14)</f>
        <v>Carta di credito</v>
      </c>
    </row>
    <row r="237" spans="1:13" x14ac:dyDescent="0.3">
      <c r="A237" s="11">
        <v>236</v>
      </c>
      <c r="B237" s="6">
        <v>41736</v>
      </c>
      <c r="C237" s="1" t="s">
        <v>2</v>
      </c>
      <c r="D237" s="2" t="s">
        <v>132</v>
      </c>
      <c r="E237" s="2" t="s">
        <v>251</v>
      </c>
      <c r="F237" s="3">
        <v>1154</v>
      </c>
      <c r="G237" s="15">
        <v>1</v>
      </c>
      <c r="H237" t="str">
        <f>VLOOKUP(D237,'Dati di Supporto'!$B$2:$C$104,2,FALSE)</f>
        <v>Veneto</v>
      </c>
      <c r="I237" t="str">
        <f>VLOOKUP(D237,'Dati di Supporto'!$B$2:$D$104,3,FALSE)</f>
        <v>VR</v>
      </c>
      <c r="J237" t="str">
        <f>VLOOKUP(H237,'Dati di Supporto'!$G$2:$H$21,2,FALSE)</f>
        <v>NORD</v>
      </c>
      <c r="K237">
        <f t="shared" si="3"/>
        <v>84</v>
      </c>
      <c r="L237" t="str">
        <f>_xlfn.IFS(Vendite!F237&lt;'Dati di Supporto'!$O$3,'Dati di Supporto'!$P$2,Vendite!F237&lt;'Dati di Supporto'!$O$4,'Dati di Supporto'!$P$3,Vendite!F237&lt;'Dati di Supporto'!$O$5,'Dati di Supporto'!$P$4,Vendite!F237&lt;'Dati di Supporto'!$O$6,'Dati di Supporto'!$P$5,Vendite!F237&gt;'Dati di Supporto'!$O$6,'Dati di Supporto'!$P$6)</f>
        <v>Fascia 3 (da 800 €  a meno di 1200 €)</v>
      </c>
      <c r="M237" t="str">
        <f>_xlfn.IFS(G237='Dati di Supporto'!$O$10,'Dati di Supporto'!$P$10,Vendite!G237='Dati di Supporto'!$O$11,'Dati di Supporto'!$P$11,Vendite!G237='Dati di Supporto'!$O$12,'Dati di Supporto'!$P$12,Vendite!G237='Dati di Supporto'!$O$13,'Dati di Supporto'!$P$13,Vendite!G237='Dati di Supporto'!$O$14,'Dati di Supporto'!$P$14)</f>
        <v>Contanti</v>
      </c>
    </row>
    <row r="238" spans="1:13" x14ac:dyDescent="0.3">
      <c r="A238" s="11">
        <v>237</v>
      </c>
      <c r="B238" s="6">
        <v>41687</v>
      </c>
      <c r="C238" s="1" t="s">
        <v>1</v>
      </c>
      <c r="D238" s="2" t="s">
        <v>119</v>
      </c>
      <c r="E238" s="2" t="s">
        <v>10</v>
      </c>
      <c r="F238" s="3">
        <v>891</v>
      </c>
      <c r="G238" s="15">
        <v>3</v>
      </c>
      <c r="H238" t="str">
        <f>VLOOKUP(D238,'Dati di Supporto'!$B$2:$C$104,2,FALSE)</f>
        <v>Puglia</v>
      </c>
      <c r="I238" t="str">
        <f>VLOOKUP(D238,'Dati di Supporto'!$B$2:$D$104,3,FALSE)</f>
        <v>TA</v>
      </c>
      <c r="J238" t="str">
        <f>VLOOKUP(H238,'Dati di Supporto'!$G$2:$H$21,2,FALSE)</f>
        <v>SUD</v>
      </c>
      <c r="K238">
        <f t="shared" si="3"/>
        <v>96</v>
      </c>
      <c r="L238" t="str">
        <f>_xlfn.IFS(Vendite!F238&lt;'Dati di Supporto'!$O$3,'Dati di Supporto'!$P$2,Vendite!F238&lt;'Dati di Supporto'!$O$4,'Dati di Supporto'!$P$3,Vendite!F238&lt;'Dati di Supporto'!$O$5,'Dati di Supporto'!$P$4,Vendite!F238&lt;'Dati di Supporto'!$O$6,'Dati di Supporto'!$P$5,Vendite!F238&gt;'Dati di Supporto'!$O$6,'Dati di Supporto'!$P$6)</f>
        <v>Fascia 3 (da 800 €  a meno di 1200 €)</v>
      </c>
      <c r="M238" t="str">
        <f>_xlfn.IFS(G238='Dati di Supporto'!$O$10,'Dati di Supporto'!$P$10,Vendite!G238='Dati di Supporto'!$O$11,'Dati di Supporto'!$P$11,Vendite!G238='Dati di Supporto'!$O$12,'Dati di Supporto'!$P$12,Vendite!G238='Dati di Supporto'!$O$13,'Dati di Supporto'!$P$13,Vendite!G238='Dati di Supporto'!$O$14,'Dati di Supporto'!$P$14)</f>
        <v>Carta di credito</v>
      </c>
    </row>
    <row r="239" spans="1:13" x14ac:dyDescent="0.3">
      <c r="A239" s="11">
        <v>238</v>
      </c>
      <c r="B239" s="6">
        <v>41754</v>
      </c>
      <c r="C239" s="1" t="s">
        <v>8</v>
      </c>
      <c r="D239" s="2" t="s">
        <v>101</v>
      </c>
      <c r="E239" s="2" t="s">
        <v>252</v>
      </c>
      <c r="F239" s="3">
        <v>1130</v>
      </c>
      <c r="G239" s="15">
        <v>2</v>
      </c>
      <c r="H239" t="str">
        <f>VLOOKUP(D239,'Dati di Supporto'!$B$2:$C$104,2,FALSE)</f>
        <v>Emilia-Romagna</v>
      </c>
      <c r="I239" t="str">
        <f>VLOOKUP(D239,'Dati di Supporto'!$B$2:$D$104,3,FALSE)</f>
        <v>PC</v>
      </c>
      <c r="J239" t="str">
        <f>VLOOKUP(H239,'Dati di Supporto'!$G$2:$H$21,2,FALSE)</f>
        <v>NORD</v>
      </c>
      <c r="K239">
        <f t="shared" si="3"/>
        <v>70</v>
      </c>
      <c r="L239" t="str">
        <f>_xlfn.IFS(Vendite!F239&lt;'Dati di Supporto'!$O$3,'Dati di Supporto'!$P$2,Vendite!F239&lt;'Dati di Supporto'!$O$4,'Dati di Supporto'!$P$3,Vendite!F239&lt;'Dati di Supporto'!$O$5,'Dati di Supporto'!$P$4,Vendite!F239&lt;'Dati di Supporto'!$O$6,'Dati di Supporto'!$P$5,Vendite!F239&gt;'Dati di Supporto'!$O$6,'Dati di Supporto'!$P$6)</f>
        <v>Fascia 3 (da 800 €  a meno di 1200 €)</v>
      </c>
      <c r="M239" t="str">
        <f>_xlfn.IFS(G239='Dati di Supporto'!$O$10,'Dati di Supporto'!$P$10,Vendite!G239='Dati di Supporto'!$O$11,'Dati di Supporto'!$P$11,Vendite!G239='Dati di Supporto'!$O$12,'Dati di Supporto'!$P$12,Vendite!G239='Dati di Supporto'!$O$13,'Dati di Supporto'!$P$13,Vendite!G239='Dati di Supporto'!$O$14,'Dati di Supporto'!$P$14)</f>
        <v>Bonifico Bancario</v>
      </c>
    </row>
    <row r="240" spans="1:13" x14ac:dyDescent="0.3">
      <c r="A240" s="11">
        <v>239</v>
      </c>
      <c r="B240" s="6">
        <v>41819</v>
      </c>
      <c r="C240" s="1" t="s">
        <v>247</v>
      </c>
      <c r="D240" s="2" t="s">
        <v>124</v>
      </c>
      <c r="E240" s="2" t="s">
        <v>10</v>
      </c>
      <c r="F240" s="3">
        <v>317</v>
      </c>
      <c r="G240" s="15">
        <v>4</v>
      </c>
      <c r="H240" t="str">
        <f>VLOOKUP(D240,'Dati di Supporto'!$B$2:$C$104,2,FALSE)</f>
        <v>Trentino-Alto Adige</v>
      </c>
      <c r="I240" t="str">
        <f>VLOOKUP(D240,'Dati di Supporto'!$B$2:$D$104,3,FALSE)</f>
        <v>TN</v>
      </c>
      <c r="J240" t="str">
        <f>VLOOKUP(H240,'Dati di Supporto'!$G$2:$H$21,2,FALSE)</f>
        <v>NORD</v>
      </c>
      <c r="K240">
        <f t="shared" si="3"/>
        <v>83</v>
      </c>
      <c r="L240" t="str">
        <f>_xlfn.IFS(Vendite!F240&lt;'Dati di Supporto'!$O$3,'Dati di Supporto'!$P$2,Vendite!F240&lt;'Dati di Supporto'!$O$4,'Dati di Supporto'!$P$3,Vendite!F240&lt;'Dati di Supporto'!$O$5,'Dati di Supporto'!$P$4,Vendite!F240&lt;'Dati di Supporto'!$O$6,'Dati di Supporto'!$P$5,Vendite!F240&gt;'Dati di Supporto'!$O$6,'Dati di Supporto'!$P$6)</f>
        <v>Fascia 1 (inferiore a 400 €)</v>
      </c>
      <c r="M240" t="str">
        <f>_xlfn.IFS(G240='Dati di Supporto'!$O$10,'Dati di Supporto'!$P$10,Vendite!G240='Dati di Supporto'!$O$11,'Dati di Supporto'!$P$11,Vendite!G240='Dati di Supporto'!$O$12,'Dati di Supporto'!$P$12,Vendite!G240='Dati di Supporto'!$O$13,'Dati di Supporto'!$P$13,Vendite!G240='Dati di Supporto'!$O$14,'Dati di Supporto'!$P$14)</f>
        <v>Bollettino postale</v>
      </c>
    </row>
    <row r="241" spans="1:13" x14ac:dyDescent="0.3">
      <c r="A241" s="11">
        <v>240</v>
      </c>
      <c r="B241" s="6">
        <v>41695</v>
      </c>
      <c r="C241" s="1" t="s">
        <v>247</v>
      </c>
      <c r="D241" s="2" t="s">
        <v>101</v>
      </c>
      <c r="E241" s="2" t="s">
        <v>251</v>
      </c>
      <c r="F241" s="3">
        <v>1663</v>
      </c>
      <c r="G241" s="15">
        <v>5</v>
      </c>
      <c r="H241" t="str">
        <f>VLOOKUP(D241,'Dati di Supporto'!$B$2:$C$104,2,FALSE)</f>
        <v>Emilia-Romagna</v>
      </c>
      <c r="I241" t="str">
        <f>VLOOKUP(D241,'Dati di Supporto'!$B$2:$D$104,3,FALSE)</f>
        <v>PC</v>
      </c>
      <c r="J241" t="str">
        <f>VLOOKUP(H241,'Dati di Supporto'!$G$2:$H$21,2,FALSE)</f>
        <v>NORD</v>
      </c>
      <c r="K241">
        <f t="shared" si="3"/>
        <v>83</v>
      </c>
      <c r="L241" t="str">
        <f>_xlfn.IFS(Vendite!F241&lt;'Dati di Supporto'!$O$3,'Dati di Supporto'!$P$2,Vendite!F241&lt;'Dati di Supporto'!$O$4,'Dati di Supporto'!$P$3,Vendite!F241&lt;'Dati di Supporto'!$O$5,'Dati di Supporto'!$P$4,Vendite!F241&lt;'Dati di Supporto'!$O$6,'Dati di Supporto'!$P$5,Vendite!F241&gt;'Dati di Supporto'!$O$6,'Dati di Supporto'!$P$6)</f>
        <v>Fascia 5 (da 1500 € e oltre)</v>
      </c>
      <c r="M241" t="str">
        <f>_xlfn.IFS(G241='Dati di Supporto'!$O$10,'Dati di Supporto'!$P$10,Vendite!G241='Dati di Supporto'!$O$11,'Dati di Supporto'!$P$11,Vendite!G241='Dati di Supporto'!$O$12,'Dati di Supporto'!$P$12,Vendite!G241='Dati di Supporto'!$O$13,'Dati di Supporto'!$P$13,Vendite!G241='Dati di Supporto'!$O$14,'Dati di Supporto'!$P$14)</f>
        <v>Assegno Bancario</v>
      </c>
    </row>
    <row r="242" spans="1:13" x14ac:dyDescent="0.3">
      <c r="A242" s="11">
        <v>241</v>
      </c>
      <c r="B242" s="6">
        <v>41669</v>
      </c>
      <c r="C242" s="1" t="s">
        <v>248</v>
      </c>
      <c r="D242" s="2" t="s">
        <v>131</v>
      </c>
      <c r="E242" s="2" t="s">
        <v>250</v>
      </c>
      <c r="F242" s="3">
        <v>107</v>
      </c>
      <c r="G242" s="15">
        <v>1</v>
      </c>
      <c r="H242" t="str">
        <f>VLOOKUP(D242,'Dati di Supporto'!$B$2:$C$104,2,FALSE)</f>
        <v>Piemonte</v>
      </c>
      <c r="I242" t="str">
        <f>VLOOKUP(D242,'Dati di Supporto'!$B$2:$D$104,3,FALSE)</f>
        <v>VC</v>
      </c>
      <c r="J242" t="str">
        <f>VLOOKUP(H242,'Dati di Supporto'!$G$2:$H$21,2,FALSE)</f>
        <v>NORD</v>
      </c>
      <c r="K242">
        <f t="shared" si="3"/>
        <v>80</v>
      </c>
      <c r="L242" t="str">
        <f>_xlfn.IFS(Vendite!F242&lt;'Dati di Supporto'!$O$3,'Dati di Supporto'!$P$2,Vendite!F242&lt;'Dati di Supporto'!$O$4,'Dati di Supporto'!$P$3,Vendite!F242&lt;'Dati di Supporto'!$O$5,'Dati di Supporto'!$P$4,Vendite!F242&lt;'Dati di Supporto'!$O$6,'Dati di Supporto'!$P$5,Vendite!F242&gt;'Dati di Supporto'!$O$6,'Dati di Supporto'!$P$6)</f>
        <v>Fascia 1 (inferiore a 400 €)</v>
      </c>
      <c r="M242" t="str">
        <f>_xlfn.IFS(G242='Dati di Supporto'!$O$10,'Dati di Supporto'!$P$10,Vendite!G242='Dati di Supporto'!$O$11,'Dati di Supporto'!$P$11,Vendite!G242='Dati di Supporto'!$O$12,'Dati di Supporto'!$P$12,Vendite!G242='Dati di Supporto'!$O$13,'Dati di Supporto'!$P$13,Vendite!G242='Dati di Supporto'!$O$14,'Dati di Supporto'!$P$14)</f>
        <v>Contanti</v>
      </c>
    </row>
    <row r="243" spans="1:13" x14ac:dyDescent="0.3">
      <c r="A243" s="11">
        <v>242</v>
      </c>
      <c r="B243" s="6">
        <v>41800</v>
      </c>
      <c r="C243" s="1" t="s">
        <v>248</v>
      </c>
      <c r="D243" s="2" t="s">
        <v>127</v>
      </c>
      <c r="E243" s="2" t="s">
        <v>250</v>
      </c>
      <c r="F243" s="3">
        <v>1430</v>
      </c>
      <c r="G243" s="15">
        <v>2</v>
      </c>
      <c r="H243" t="str">
        <f>VLOOKUP(D243,'Dati di Supporto'!$B$2:$C$104,2,FALSE)</f>
        <v>Friuli-Venezia Giulia</v>
      </c>
      <c r="I243" t="str">
        <f>VLOOKUP(D243,'Dati di Supporto'!$B$2:$D$104,3,FALSE)</f>
        <v>UD</v>
      </c>
      <c r="J243" t="str">
        <f>VLOOKUP(H243,'Dati di Supporto'!$G$2:$H$21,2,FALSE)</f>
        <v>NORD</v>
      </c>
      <c r="K243">
        <f t="shared" si="3"/>
        <v>80</v>
      </c>
      <c r="L243" t="str">
        <f>_xlfn.IFS(Vendite!F243&lt;'Dati di Supporto'!$O$3,'Dati di Supporto'!$P$2,Vendite!F243&lt;'Dati di Supporto'!$O$4,'Dati di Supporto'!$P$3,Vendite!F243&lt;'Dati di Supporto'!$O$5,'Dati di Supporto'!$P$4,Vendite!F243&lt;'Dati di Supporto'!$O$6,'Dati di Supporto'!$P$5,Vendite!F243&gt;'Dati di Supporto'!$O$6,'Dati di Supporto'!$P$6)</f>
        <v>Fascia 4 (da 1200 €  a meno di 1500 €)</v>
      </c>
      <c r="M243" t="str">
        <f>_xlfn.IFS(G243='Dati di Supporto'!$O$10,'Dati di Supporto'!$P$10,Vendite!G243='Dati di Supporto'!$O$11,'Dati di Supporto'!$P$11,Vendite!G243='Dati di Supporto'!$O$12,'Dati di Supporto'!$P$12,Vendite!G243='Dati di Supporto'!$O$13,'Dati di Supporto'!$P$13,Vendite!G243='Dati di Supporto'!$O$14,'Dati di Supporto'!$P$14)</f>
        <v>Bonifico Bancario</v>
      </c>
    </row>
    <row r="244" spans="1:13" x14ac:dyDescent="0.3">
      <c r="A244" s="11">
        <v>243</v>
      </c>
      <c r="B244" s="6">
        <v>41747</v>
      </c>
      <c r="C244" s="1" t="s">
        <v>1</v>
      </c>
      <c r="D244" s="2" t="s">
        <v>104</v>
      </c>
      <c r="E244" s="2" t="s">
        <v>252</v>
      </c>
      <c r="F244" s="3">
        <v>298</v>
      </c>
      <c r="G244" s="15">
        <v>1</v>
      </c>
      <c r="H244" t="str">
        <f>VLOOKUP(D244,'Dati di Supporto'!$B$2:$C$104,2,FALSE)</f>
        <v>Friuli-Venezia Giulia</v>
      </c>
      <c r="I244" t="str">
        <f>VLOOKUP(D244,'Dati di Supporto'!$B$2:$D$104,3,FALSE)</f>
        <v>PN</v>
      </c>
      <c r="J244" t="str">
        <f>VLOOKUP(H244,'Dati di Supporto'!$G$2:$H$21,2,FALSE)</f>
        <v>NORD</v>
      </c>
      <c r="K244">
        <f t="shared" si="3"/>
        <v>96</v>
      </c>
      <c r="L244" t="str">
        <f>_xlfn.IFS(Vendite!F244&lt;'Dati di Supporto'!$O$3,'Dati di Supporto'!$P$2,Vendite!F244&lt;'Dati di Supporto'!$O$4,'Dati di Supporto'!$P$3,Vendite!F244&lt;'Dati di Supporto'!$O$5,'Dati di Supporto'!$P$4,Vendite!F244&lt;'Dati di Supporto'!$O$6,'Dati di Supporto'!$P$5,Vendite!F244&gt;'Dati di Supporto'!$O$6,'Dati di Supporto'!$P$6)</f>
        <v>Fascia 1 (inferiore a 400 €)</v>
      </c>
      <c r="M244" t="str">
        <f>_xlfn.IFS(G244='Dati di Supporto'!$O$10,'Dati di Supporto'!$P$10,Vendite!G244='Dati di Supporto'!$O$11,'Dati di Supporto'!$P$11,Vendite!G244='Dati di Supporto'!$O$12,'Dati di Supporto'!$P$12,Vendite!G244='Dati di Supporto'!$O$13,'Dati di Supporto'!$P$13,Vendite!G244='Dati di Supporto'!$O$14,'Dati di Supporto'!$P$14)</f>
        <v>Contanti</v>
      </c>
    </row>
    <row r="245" spans="1:13" x14ac:dyDescent="0.3">
      <c r="A245" s="11">
        <v>244</v>
      </c>
      <c r="B245" s="6">
        <v>41758</v>
      </c>
      <c r="C245" s="1" t="s">
        <v>247</v>
      </c>
      <c r="D245" s="2" t="s">
        <v>211</v>
      </c>
      <c r="E245" s="2" t="s">
        <v>250</v>
      </c>
      <c r="F245" s="3">
        <v>1557</v>
      </c>
      <c r="G245" s="15">
        <v>3</v>
      </c>
      <c r="H245" t="str">
        <f>VLOOKUP(D245,'Dati di Supporto'!$B$2:$C$104,2,FALSE)</f>
        <v>Calabria</v>
      </c>
      <c r="I245" t="str">
        <f>VLOOKUP(D245,'Dati di Supporto'!$B$2:$D$104,3,FALSE)</f>
        <v>RC</v>
      </c>
      <c r="J245" t="str">
        <f>VLOOKUP(H245,'Dati di Supporto'!$G$2:$H$21,2,FALSE)</f>
        <v>SUD</v>
      </c>
      <c r="K245">
        <f t="shared" si="3"/>
        <v>83</v>
      </c>
      <c r="L245" t="str">
        <f>_xlfn.IFS(Vendite!F245&lt;'Dati di Supporto'!$O$3,'Dati di Supporto'!$P$2,Vendite!F245&lt;'Dati di Supporto'!$O$4,'Dati di Supporto'!$P$3,Vendite!F245&lt;'Dati di Supporto'!$O$5,'Dati di Supporto'!$P$4,Vendite!F245&lt;'Dati di Supporto'!$O$6,'Dati di Supporto'!$P$5,Vendite!F245&gt;'Dati di Supporto'!$O$6,'Dati di Supporto'!$P$6)</f>
        <v>Fascia 5 (da 1500 € e oltre)</v>
      </c>
      <c r="M245" t="str">
        <f>_xlfn.IFS(G245='Dati di Supporto'!$O$10,'Dati di Supporto'!$P$10,Vendite!G245='Dati di Supporto'!$O$11,'Dati di Supporto'!$P$11,Vendite!G245='Dati di Supporto'!$O$12,'Dati di Supporto'!$P$12,Vendite!G245='Dati di Supporto'!$O$13,'Dati di Supporto'!$P$13,Vendite!G245='Dati di Supporto'!$O$14,'Dati di Supporto'!$P$14)</f>
        <v>Carta di credito</v>
      </c>
    </row>
    <row r="246" spans="1:13" x14ac:dyDescent="0.3">
      <c r="A246" s="11">
        <v>245</v>
      </c>
      <c r="B246" s="6">
        <v>41736</v>
      </c>
      <c r="C246" s="1" t="s">
        <v>8</v>
      </c>
      <c r="D246" s="2" t="s">
        <v>97</v>
      </c>
      <c r="E246" s="2" t="s">
        <v>250</v>
      </c>
      <c r="F246" s="3">
        <v>477</v>
      </c>
      <c r="G246" s="15">
        <v>3</v>
      </c>
      <c r="H246" t="str">
        <f>VLOOKUP(D246,'Dati di Supporto'!$B$2:$C$104,2,FALSE)</f>
        <v>Lombardia</v>
      </c>
      <c r="I246" t="str">
        <f>VLOOKUP(D246,'Dati di Supporto'!$B$2:$D$104,3,FALSE)</f>
        <v>PV</v>
      </c>
      <c r="J246" t="str">
        <f>VLOOKUP(H246,'Dati di Supporto'!$G$2:$H$21,2,FALSE)</f>
        <v>NORD</v>
      </c>
      <c r="K246">
        <f t="shared" si="3"/>
        <v>70</v>
      </c>
      <c r="L246" t="str">
        <f>_xlfn.IFS(Vendite!F246&lt;'Dati di Supporto'!$O$3,'Dati di Supporto'!$P$2,Vendite!F246&lt;'Dati di Supporto'!$O$4,'Dati di Supporto'!$P$3,Vendite!F246&lt;'Dati di Supporto'!$O$5,'Dati di Supporto'!$P$4,Vendite!F246&lt;'Dati di Supporto'!$O$6,'Dati di Supporto'!$P$5,Vendite!F246&gt;'Dati di Supporto'!$O$6,'Dati di Supporto'!$P$6)</f>
        <v>Fascia 2 (da 400 €  a meno di 800 €)</v>
      </c>
      <c r="M246" t="str">
        <f>_xlfn.IFS(G246='Dati di Supporto'!$O$10,'Dati di Supporto'!$P$10,Vendite!G246='Dati di Supporto'!$O$11,'Dati di Supporto'!$P$11,Vendite!G246='Dati di Supporto'!$O$12,'Dati di Supporto'!$P$12,Vendite!G246='Dati di Supporto'!$O$13,'Dati di Supporto'!$P$13,Vendite!G246='Dati di Supporto'!$O$14,'Dati di Supporto'!$P$14)</f>
        <v>Carta di credito</v>
      </c>
    </row>
    <row r="247" spans="1:13" x14ac:dyDescent="0.3">
      <c r="A247" s="11">
        <v>246</v>
      </c>
      <c r="B247" s="6">
        <v>41696</v>
      </c>
      <c r="C247" s="1" t="s">
        <v>1</v>
      </c>
      <c r="D247" s="2" t="s">
        <v>101</v>
      </c>
      <c r="E247" s="2" t="s">
        <v>11</v>
      </c>
      <c r="F247" s="3">
        <v>1593</v>
      </c>
      <c r="G247" s="15">
        <v>3</v>
      </c>
      <c r="H247" t="str">
        <f>VLOOKUP(D247,'Dati di Supporto'!$B$2:$C$104,2,FALSE)</f>
        <v>Emilia-Romagna</v>
      </c>
      <c r="I247" t="str">
        <f>VLOOKUP(D247,'Dati di Supporto'!$B$2:$D$104,3,FALSE)</f>
        <v>PC</v>
      </c>
      <c r="J247" t="str">
        <f>VLOOKUP(H247,'Dati di Supporto'!$G$2:$H$21,2,FALSE)</f>
        <v>NORD</v>
      </c>
      <c r="K247">
        <f t="shared" si="3"/>
        <v>96</v>
      </c>
      <c r="L247" t="str">
        <f>_xlfn.IFS(Vendite!F247&lt;'Dati di Supporto'!$O$3,'Dati di Supporto'!$P$2,Vendite!F247&lt;'Dati di Supporto'!$O$4,'Dati di Supporto'!$P$3,Vendite!F247&lt;'Dati di Supporto'!$O$5,'Dati di Supporto'!$P$4,Vendite!F247&lt;'Dati di Supporto'!$O$6,'Dati di Supporto'!$P$5,Vendite!F247&gt;'Dati di Supporto'!$O$6,'Dati di Supporto'!$P$6)</f>
        <v>Fascia 5 (da 1500 € e oltre)</v>
      </c>
      <c r="M247" t="str">
        <f>_xlfn.IFS(G247='Dati di Supporto'!$O$10,'Dati di Supporto'!$P$10,Vendite!G247='Dati di Supporto'!$O$11,'Dati di Supporto'!$P$11,Vendite!G247='Dati di Supporto'!$O$12,'Dati di Supporto'!$P$12,Vendite!G247='Dati di Supporto'!$O$13,'Dati di Supporto'!$P$13,Vendite!G247='Dati di Supporto'!$O$14,'Dati di Supporto'!$P$14)</f>
        <v>Carta di credito</v>
      </c>
    </row>
    <row r="248" spans="1:13" x14ac:dyDescent="0.3">
      <c r="A248" s="11">
        <v>247</v>
      </c>
      <c r="B248" s="6">
        <v>41679</v>
      </c>
      <c r="C248" s="1" t="s">
        <v>2</v>
      </c>
      <c r="D248" s="2" t="s">
        <v>130</v>
      </c>
      <c r="E248" s="2" t="s">
        <v>251</v>
      </c>
      <c r="F248" s="3">
        <v>534</v>
      </c>
      <c r="G248" s="15">
        <v>5</v>
      </c>
      <c r="H248" t="str">
        <f>VLOOKUP(D248,'Dati di Supporto'!$B$2:$C$104,2,FALSE)</f>
        <v>Piemonte</v>
      </c>
      <c r="I248" t="str">
        <f>VLOOKUP(D248,'Dati di Supporto'!$B$2:$D$104,3,FALSE)</f>
        <v>VB</v>
      </c>
      <c r="J248" t="str">
        <f>VLOOKUP(H248,'Dati di Supporto'!$G$2:$H$21,2,FALSE)</f>
        <v>NORD</v>
      </c>
      <c r="K248">
        <f t="shared" si="3"/>
        <v>84</v>
      </c>
      <c r="L248" t="str">
        <f>_xlfn.IFS(Vendite!F248&lt;'Dati di Supporto'!$O$3,'Dati di Supporto'!$P$2,Vendite!F248&lt;'Dati di Supporto'!$O$4,'Dati di Supporto'!$P$3,Vendite!F248&lt;'Dati di Supporto'!$O$5,'Dati di Supporto'!$P$4,Vendite!F248&lt;'Dati di Supporto'!$O$6,'Dati di Supporto'!$P$5,Vendite!F248&gt;'Dati di Supporto'!$O$6,'Dati di Supporto'!$P$6)</f>
        <v>Fascia 2 (da 400 €  a meno di 800 €)</v>
      </c>
      <c r="M248" t="str">
        <f>_xlfn.IFS(G248='Dati di Supporto'!$O$10,'Dati di Supporto'!$P$10,Vendite!G248='Dati di Supporto'!$O$11,'Dati di Supporto'!$P$11,Vendite!G248='Dati di Supporto'!$O$12,'Dati di Supporto'!$P$12,Vendite!G248='Dati di Supporto'!$O$13,'Dati di Supporto'!$P$13,Vendite!G248='Dati di Supporto'!$O$14,'Dati di Supporto'!$P$14)</f>
        <v>Assegno Bancario</v>
      </c>
    </row>
    <row r="249" spans="1:13" x14ac:dyDescent="0.3">
      <c r="A249" s="11">
        <v>248</v>
      </c>
      <c r="B249" s="6">
        <v>41816</v>
      </c>
      <c r="C249" s="1" t="s">
        <v>8</v>
      </c>
      <c r="D249" s="2" t="s">
        <v>112</v>
      </c>
      <c r="E249" s="2" t="s">
        <v>251</v>
      </c>
      <c r="F249" s="3">
        <v>1615</v>
      </c>
      <c r="G249" s="15">
        <v>5</v>
      </c>
      <c r="H249" t="str">
        <f>VLOOKUP(D249,'Dati di Supporto'!$B$2:$C$104,2,FALSE)</f>
        <v>Veneto</v>
      </c>
      <c r="I249" t="str">
        <f>VLOOKUP(D249,'Dati di Supporto'!$B$2:$D$104,3,FALSE)</f>
        <v>RO</v>
      </c>
      <c r="J249" t="str">
        <f>VLOOKUP(H249,'Dati di Supporto'!$G$2:$H$21,2,FALSE)</f>
        <v>NORD</v>
      </c>
      <c r="K249">
        <f t="shared" si="3"/>
        <v>70</v>
      </c>
      <c r="L249" t="str">
        <f>_xlfn.IFS(Vendite!F249&lt;'Dati di Supporto'!$O$3,'Dati di Supporto'!$P$2,Vendite!F249&lt;'Dati di Supporto'!$O$4,'Dati di Supporto'!$P$3,Vendite!F249&lt;'Dati di Supporto'!$O$5,'Dati di Supporto'!$P$4,Vendite!F249&lt;'Dati di Supporto'!$O$6,'Dati di Supporto'!$P$5,Vendite!F249&gt;'Dati di Supporto'!$O$6,'Dati di Supporto'!$P$6)</f>
        <v>Fascia 5 (da 1500 € e oltre)</v>
      </c>
      <c r="M249" t="str">
        <f>_xlfn.IFS(G249='Dati di Supporto'!$O$10,'Dati di Supporto'!$P$10,Vendite!G249='Dati di Supporto'!$O$11,'Dati di Supporto'!$P$11,Vendite!G249='Dati di Supporto'!$O$12,'Dati di Supporto'!$P$12,Vendite!G249='Dati di Supporto'!$O$13,'Dati di Supporto'!$P$13,Vendite!G249='Dati di Supporto'!$O$14,'Dati di Supporto'!$P$14)</f>
        <v>Assegno Bancario</v>
      </c>
    </row>
    <row r="250" spans="1:13" x14ac:dyDescent="0.3">
      <c r="A250" s="11">
        <v>249</v>
      </c>
      <c r="B250" s="6">
        <v>41665</v>
      </c>
      <c r="C250" s="1" t="s">
        <v>2</v>
      </c>
      <c r="D250" s="2" t="s">
        <v>102</v>
      </c>
      <c r="E250" s="2" t="s">
        <v>251</v>
      </c>
      <c r="F250" s="3">
        <v>416</v>
      </c>
      <c r="G250" s="15">
        <v>3</v>
      </c>
      <c r="H250" t="str">
        <f>VLOOKUP(D250,'Dati di Supporto'!$B$2:$C$104,2,FALSE)</f>
        <v>Toscana</v>
      </c>
      <c r="I250" t="str">
        <f>VLOOKUP(D250,'Dati di Supporto'!$B$2:$D$104,3,FALSE)</f>
        <v>PI</v>
      </c>
      <c r="J250" t="str">
        <f>VLOOKUP(H250,'Dati di Supporto'!$G$2:$H$21,2,FALSE)</f>
        <v>CENTRO</v>
      </c>
      <c r="K250">
        <f t="shared" si="3"/>
        <v>84</v>
      </c>
      <c r="L250" t="str">
        <f>_xlfn.IFS(Vendite!F250&lt;'Dati di Supporto'!$O$3,'Dati di Supporto'!$P$2,Vendite!F250&lt;'Dati di Supporto'!$O$4,'Dati di Supporto'!$P$3,Vendite!F250&lt;'Dati di Supporto'!$O$5,'Dati di Supporto'!$P$4,Vendite!F250&lt;'Dati di Supporto'!$O$6,'Dati di Supporto'!$P$5,Vendite!F250&gt;'Dati di Supporto'!$O$6,'Dati di Supporto'!$P$6)</f>
        <v>Fascia 2 (da 400 €  a meno di 800 €)</v>
      </c>
      <c r="M250" t="str">
        <f>_xlfn.IFS(G250='Dati di Supporto'!$O$10,'Dati di Supporto'!$P$10,Vendite!G250='Dati di Supporto'!$O$11,'Dati di Supporto'!$P$11,Vendite!G250='Dati di Supporto'!$O$12,'Dati di Supporto'!$P$12,Vendite!G250='Dati di Supporto'!$O$13,'Dati di Supporto'!$P$13,Vendite!G250='Dati di Supporto'!$O$14,'Dati di Supporto'!$P$14)</f>
        <v>Carta di credito</v>
      </c>
    </row>
    <row r="251" spans="1:13" x14ac:dyDescent="0.3">
      <c r="A251" s="11">
        <v>250</v>
      </c>
      <c r="B251" s="6">
        <v>41665</v>
      </c>
      <c r="C251" s="1" t="s">
        <v>1</v>
      </c>
      <c r="D251" s="2" t="s">
        <v>129</v>
      </c>
      <c r="E251" s="2" t="s">
        <v>250</v>
      </c>
      <c r="F251" s="3">
        <v>201</v>
      </c>
      <c r="G251" s="15">
        <v>4</v>
      </c>
      <c r="H251" t="str">
        <f>VLOOKUP(D251,'Dati di Supporto'!$B$2:$C$104,2,FALSE)</f>
        <v>Veneto</v>
      </c>
      <c r="I251" t="str">
        <f>VLOOKUP(D251,'Dati di Supporto'!$B$2:$D$104,3,FALSE)</f>
        <v>VE</v>
      </c>
      <c r="J251" t="str">
        <f>VLOOKUP(H251,'Dati di Supporto'!$G$2:$H$21,2,FALSE)</f>
        <v>NORD</v>
      </c>
      <c r="K251">
        <f t="shared" si="3"/>
        <v>96</v>
      </c>
      <c r="L251" t="str">
        <f>_xlfn.IFS(Vendite!F251&lt;'Dati di Supporto'!$O$3,'Dati di Supporto'!$P$2,Vendite!F251&lt;'Dati di Supporto'!$O$4,'Dati di Supporto'!$P$3,Vendite!F251&lt;'Dati di Supporto'!$O$5,'Dati di Supporto'!$P$4,Vendite!F251&lt;'Dati di Supporto'!$O$6,'Dati di Supporto'!$P$5,Vendite!F251&gt;'Dati di Supporto'!$O$6,'Dati di Supporto'!$P$6)</f>
        <v>Fascia 1 (inferiore a 400 €)</v>
      </c>
      <c r="M251" t="str">
        <f>_xlfn.IFS(G251='Dati di Supporto'!$O$10,'Dati di Supporto'!$P$10,Vendite!G251='Dati di Supporto'!$O$11,'Dati di Supporto'!$P$11,Vendite!G251='Dati di Supporto'!$O$12,'Dati di Supporto'!$P$12,Vendite!G251='Dati di Supporto'!$O$13,'Dati di Supporto'!$P$13,Vendite!G251='Dati di Supporto'!$O$14,'Dati di Supporto'!$P$14)</f>
        <v>Bollettino postale</v>
      </c>
    </row>
    <row r="252" spans="1:13" x14ac:dyDescent="0.3">
      <c r="A252" s="11">
        <v>251</v>
      </c>
      <c r="B252" s="6">
        <v>41804</v>
      </c>
      <c r="C252" s="1" t="s">
        <v>248</v>
      </c>
      <c r="D252" s="2" t="s">
        <v>104</v>
      </c>
      <c r="E252" s="2" t="s">
        <v>250</v>
      </c>
      <c r="F252" s="3">
        <v>95</v>
      </c>
      <c r="G252" s="15">
        <v>3</v>
      </c>
      <c r="H252" t="str">
        <f>VLOOKUP(D252,'Dati di Supporto'!$B$2:$C$104,2,FALSE)</f>
        <v>Friuli-Venezia Giulia</v>
      </c>
      <c r="I252" t="str">
        <f>VLOOKUP(D252,'Dati di Supporto'!$B$2:$D$104,3,FALSE)</f>
        <v>PN</v>
      </c>
      <c r="J252" t="str">
        <f>VLOOKUP(H252,'Dati di Supporto'!$G$2:$H$21,2,FALSE)</f>
        <v>NORD</v>
      </c>
      <c r="K252">
        <f t="shared" si="3"/>
        <v>80</v>
      </c>
      <c r="L252" t="str">
        <f>_xlfn.IFS(Vendite!F252&lt;'Dati di Supporto'!$O$3,'Dati di Supporto'!$P$2,Vendite!F252&lt;'Dati di Supporto'!$O$4,'Dati di Supporto'!$P$3,Vendite!F252&lt;'Dati di Supporto'!$O$5,'Dati di Supporto'!$P$4,Vendite!F252&lt;'Dati di Supporto'!$O$6,'Dati di Supporto'!$P$5,Vendite!F252&gt;'Dati di Supporto'!$O$6,'Dati di Supporto'!$P$6)</f>
        <v>Fascia 1 (inferiore a 400 €)</v>
      </c>
      <c r="M252" t="str">
        <f>_xlfn.IFS(G252='Dati di Supporto'!$O$10,'Dati di Supporto'!$P$10,Vendite!G252='Dati di Supporto'!$O$11,'Dati di Supporto'!$P$11,Vendite!G252='Dati di Supporto'!$O$12,'Dati di Supporto'!$P$12,Vendite!G252='Dati di Supporto'!$O$13,'Dati di Supporto'!$P$13,Vendite!G252='Dati di Supporto'!$O$14,'Dati di Supporto'!$P$14)</f>
        <v>Carta di credito</v>
      </c>
    </row>
    <row r="253" spans="1:13" x14ac:dyDescent="0.3">
      <c r="A253" s="11">
        <v>252</v>
      </c>
      <c r="B253" s="6">
        <v>41670</v>
      </c>
      <c r="C253" s="1" t="s">
        <v>2</v>
      </c>
      <c r="D253" s="2" t="s">
        <v>134</v>
      </c>
      <c r="E253" s="2" t="s">
        <v>10</v>
      </c>
      <c r="F253" s="3">
        <v>1762</v>
      </c>
      <c r="G253" s="15">
        <v>3</v>
      </c>
      <c r="H253" t="str">
        <f>VLOOKUP(D253,'Dati di Supporto'!$B$2:$C$104,2,FALSE)</f>
        <v>Veneto</v>
      </c>
      <c r="I253" t="str">
        <f>VLOOKUP(D253,'Dati di Supporto'!$B$2:$D$104,3,FALSE)</f>
        <v>VI</v>
      </c>
      <c r="J253" t="str">
        <f>VLOOKUP(H253,'Dati di Supporto'!$G$2:$H$21,2,FALSE)</f>
        <v>NORD</v>
      </c>
      <c r="K253">
        <f t="shared" si="3"/>
        <v>84</v>
      </c>
      <c r="L253" t="str">
        <f>_xlfn.IFS(Vendite!F253&lt;'Dati di Supporto'!$O$3,'Dati di Supporto'!$P$2,Vendite!F253&lt;'Dati di Supporto'!$O$4,'Dati di Supporto'!$P$3,Vendite!F253&lt;'Dati di Supporto'!$O$5,'Dati di Supporto'!$P$4,Vendite!F253&lt;'Dati di Supporto'!$O$6,'Dati di Supporto'!$P$5,Vendite!F253&gt;'Dati di Supporto'!$O$6,'Dati di Supporto'!$P$6)</f>
        <v>Fascia 5 (da 1500 € e oltre)</v>
      </c>
      <c r="M253" t="str">
        <f>_xlfn.IFS(G253='Dati di Supporto'!$O$10,'Dati di Supporto'!$P$10,Vendite!G253='Dati di Supporto'!$O$11,'Dati di Supporto'!$P$11,Vendite!G253='Dati di Supporto'!$O$12,'Dati di Supporto'!$P$12,Vendite!G253='Dati di Supporto'!$O$13,'Dati di Supporto'!$P$13,Vendite!G253='Dati di Supporto'!$O$14,'Dati di Supporto'!$P$14)</f>
        <v>Carta di credito</v>
      </c>
    </row>
    <row r="254" spans="1:13" x14ac:dyDescent="0.3">
      <c r="A254" s="11">
        <v>253</v>
      </c>
      <c r="B254" s="6">
        <v>41688</v>
      </c>
      <c r="C254" s="1" t="s">
        <v>248</v>
      </c>
      <c r="D254" s="2" t="s">
        <v>117</v>
      </c>
      <c r="E254" s="2" t="s">
        <v>10</v>
      </c>
      <c r="F254" s="3">
        <v>222</v>
      </c>
      <c r="G254" s="15">
        <v>4</v>
      </c>
      <c r="H254" t="str">
        <f>VLOOKUP(D254,'Dati di Supporto'!$B$2:$C$104,2,FALSE)</f>
        <v>Sicilia</v>
      </c>
      <c r="I254" t="str">
        <f>VLOOKUP(D254,'Dati di Supporto'!$B$2:$D$104,3,FALSE)</f>
        <v>SR</v>
      </c>
      <c r="J254" t="str">
        <f>VLOOKUP(H254,'Dati di Supporto'!$G$2:$H$21,2,FALSE)</f>
        <v>ISOLE</v>
      </c>
      <c r="K254">
        <f t="shared" si="3"/>
        <v>80</v>
      </c>
      <c r="L254" t="str">
        <f>_xlfn.IFS(Vendite!F254&lt;'Dati di Supporto'!$O$3,'Dati di Supporto'!$P$2,Vendite!F254&lt;'Dati di Supporto'!$O$4,'Dati di Supporto'!$P$3,Vendite!F254&lt;'Dati di Supporto'!$O$5,'Dati di Supporto'!$P$4,Vendite!F254&lt;'Dati di Supporto'!$O$6,'Dati di Supporto'!$P$5,Vendite!F254&gt;'Dati di Supporto'!$O$6,'Dati di Supporto'!$P$6)</f>
        <v>Fascia 1 (inferiore a 400 €)</v>
      </c>
      <c r="M254" t="str">
        <f>_xlfn.IFS(G254='Dati di Supporto'!$O$10,'Dati di Supporto'!$P$10,Vendite!G254='Dati di Supporto'!$O$11,'Dati di Supporto'!$P$11,Vendite!G254='Dati di Supporto'!$O$12,'Dati di Supporto'!$P$12,Vendite!G254='Dati di Supporto'!$O$13,'Dati di Supporto'!$P$13,Vendite!G254='Dati di Supporto'!$O$14,'Dati di Supporto'!$P$14)</f>
        <v>Bollettino postale</v>
      </c>
    </row>
    <row r="255" spans="1:13" x14ac:dyDescent="0.3">
      <c r="A255" s="11">
        <v>254</v>
      </c>
      <c r="B255" s="6">
        <v>41759</v>
      </c>
      <c r="C255" s="1" t="s">
        <v>1</v>
      </c>
      <c r="D255" s="2" t="s">
        <v>117</v>
      </c>
      <c r="E255" s="2" t="s">
        <v>251</v>
      </c>
      <c r="F255" s="3">
        <v>1701</v>
      </c>
      <c r="G255" s="15">
        <v>3</v>
      </c>
      <c r="H255" t="str">
        <f>VLOOKUP(D255,'Dati di Supporto'!$B$2:$C$104,2,FALSE)</f>
        <v>Sicilia</v>
      </c>
      <c r="I255" t="str">
        <f>VLOOKUP(D255,'Dati di Supporto'!$B$2:$D$104,3,FALSE)</f>
        <v>SR</v>
      </c>
      <c r="J255" t="str">
        <f>VLOOKUP(H255,'Dati di Supporto'!$G$2:$H$21,2,FALSE)</f>
        <v>ISOLE</v>
      </c>
      <c r="K255">
        <f t="shared" si="3"/>
        <v>96</v>
      </c>
      <c r="L255" t="str">
        <f>_xlfn.IFS(Vendite!F255&lt;'Dati di Supporto'!$O$3,'Dati di Supporto'!$P$2,Vendite!F255&lt;'Dati di Supporto'!$O$4,'Dati di Supporto'!$P$3,Vendite!F255&lt;'Dati di Supporto'!$O$5,'Dati di Supporto'!$P$4,Vendite!F255&lt;'Dati di Supporto'!$O$6,'Dati di Supporto'!$P$5,Vendite!F255&gt;'Dati di Supporto'!$O$6,'Dati di Supporto'!$P$6)</f>
        <v>Fascia 5 (da 1500 € e oltre)</v>
      </c>
      <c r="M255" t="str">
        <f>_xlfn.IFS(G255='Dati di Supporto'!$O$10,'Dati di Supporto'!$P$10,Vendite!G255='Dati di Supporto'!$O$11,'Dati di Supporto'!$P$11,Vendite!G255='Dati di Supporto'!$O$12,'Dati di Supporto'!$P$12,Vendite!G255='Dati di Supporto'!$O$13,'Dati di Supporto'!$P$13,Vendite!G255='Dati di Supporto'!$O$14,'Dati di Supporto'!$P$14)</f>
        <v>Carta di credito</v>
      </c>
    </row>
    <row r="256" spans="1:13" x14ac:dyDescent="0.3">
      <c r="A256" s="11">
        <v>255</v>
      </c>
      <c r="B256" s="6">
        <v>41645</v>
      </c>
      <c r="C256" s="1" t="s">
        <v>1</v>
      </c>
      <c r="D256" s="2" t="s">
        <v>213</v>
      </c>
      <c r="E256" s="2" t="s">
        <v>11</v>
      </c>
      <c r="F256" s="3">
        <v>1517</v>
      </c>
      <c r="G256" s="15">
        <v>1</v>
      </c>
      <c r="H256" t="str">
        <f>VLOOKUP(D256,'Dati di Supporto'!$B$2:$C$104,2,FALSE)</f>
        <v>Emilia-Romagna</v>
      </c>
      <c r="I256" t="str">
        <f>VLOOKUP(D256,'Dati di Supporto'!$B$2:$D$104,3,FALSE)</f>
        <v>RE</v>
      </c>
      <c r="J256" t="str">
        <f>VLOOKUP(H256,'Dati di Supporto'!$G$2:$H$21,2,FALSE)</f>
        <v>NORD</v>
      </c>
      <c r="K256">
        <f t="shared" si="3"/>
        <v>96</v>
      </c>
      <c r="L256" t="str">
        <f>_xlfn.IFS(Vendite!F256&lt;'Dati di Supporto'!$O$3,'Dati di Supporto'!$P$2,Vendite!F256&lt;'Dati di Supporto'!$O$4,'Dati di Supporto'!$P$3,Vendite!F256&lt;'Dati di Supporto'!$O$5,'Dati di Supporto'!$P$4,Vendite!F256&lt;'Dati di Supporto'!$O$6,'Dati di Supporto'!$P$5,Vendite!F256&gt;'Dati di Supporto'!$O$6,'Dati di Supporto'!$P$6)</f>
        <v>Fascia 5 (da 1500 € e oltre)</v>
      </c>
      <c r="M256" t="str">
        <f>_xlfn.IFS(G256='Dati di Supporto'!$O$10,'Dati di Supporto'!$P$10,Vendite!G256='Dati di Supporto'!$O$11,'Dati di Supporto'!$P$11,Vendite!G256='Dati di Supporto'!$O$12,'Dati di Supporto'!$P$12,Vendite!G256='Dati di Supporto'!$O$13,'Dati di Supporto'!$P$13,Vendite!G256='Dati di Supporto'!$O$14,'Dati di Supporto'!$P$14)</f>
        <v>Contanti</v>
      </c>
    </row>
    <row r="257" spans="1:13" x14ac:dyDescent="0.3">
      <c r="A257" s="11">
        <v>256</v>
      </c>
      <c r="B257" s="6">
        <v>41788</v>
      </c>
      <c r="C257" s="1" t="s">
        <v>2</v>
      </c>
      <c r="D257" s="2" t="s">
        <v>99</v>
      </c>
      <c r="E257" s="2" t="s">
        <v>252</v>
      </c>
      <c r="F257" s="3">
        <v>1596</v>
      </c>
      <c r="G257" s="15">
        <v>1</v>
      </c>
      <c r="H257" t="str">
        <f>VLOOKUP(D257,'Dati di Supporto'!$B$2:$C$104,2,FALSE)</f>
        <v>Marche</v>
      </c>
      <c r="I257" t="str">
        <f>VLOOKUP(D257,'Dati di Supporto'!$B$2:$D$104,3,FALSE)</f>
        <v>PS</v>
      </c>
      <c r="J257" t="str">
        <f>VLOOKUP(H257,'Dati di Supporto'!$G$2:$H$21,2,FALSE)</f>
        <v>CENTRO</v>
      </c>
      <c r="K257">
        <f t="shared" si="3"/>
        <v>84</v>
      </c>
      <c r="L257" t="str">
        <f>_xlfn.IFS(Vendite!F257&lt;'Dati di Supporto'!$O$3,'Dati di Supporto'!$P$2,Vendite!F257&lt;'Dati di Supporto'!$O$4,'Dati di Supporto'!$P$3,Vendite!F257&lt;'Dati di Supporto'!$O$5,'Dati di Supporto'!$P$4,Vendite!F257&lt;'Dati di Supporto'!$O$6,'Dati di Supporto'!$P$5,Vendite!F257&gt;'Dati di Supporto'!$O$6,'Dati di Supporto'!$P$6)</f>
        <v>Fascia 5 (da 1500 € e oltre)</v>
      </c>
      <c r="M257" t="str">
        <f>_xlfn.IFS(G257='Dati di Supporto'!$O$10,'Dati di Supporto'!$P$10,Vendite!G257='Dati di Supporto'!$O$11,'Dati di Supporto'!$P$11,Vendite!G257='Dati di Supporto'!$O$12,'Dati di Supporto'!$P$12,Vendite!G257='Dati di Supporto'!$O$13,'Dati di Supporto'!$P$13,Vendite!G257='Dati di Supporto'!$O$14,'Dati di Supporto'!$P$14)</f>
        <v>Contanti</v>
      </c>
    </row>
    <row r="258" spans="1:13" x14ac:dyDescent="0.3">
      <c r="A258" s="11">
        <v>257</v>
      </c>
      <c r="B258" s="6">
        <v>41757</v>
      </c>
      <c r="C258" s="1" t="s">
        <v>248</v>
      </c>
      <c r="D258" s="2" t="s">
        <v>109</v>
      </c>
      <c r="E258" s="2" t="s">
        <v>250</v>
      </c>
      <c r="F258" s="3">
        <v>1048</v>
      </c>
      <c r="G258" s="15">
        <v>5</v>
      </c>
      <c r="H258" t="str">
        <f>VLOOKUP(D258,'Dati di Supporto'!$B$2:$C$104,2,FALSE)</f>
        <v>Lazio</v>
      </c>
      <c r="I258" t="str">
        <f>VLOOKUP(D258,'Dati di Supporto'!$B$2:$D$104,3,FALSE)</f>
        <v>RI</v>
      </c>
      <c r="J258" t="str">
        <f>VLOOKUP(H258,'Dati di Supporto'!$G$2:$H$21,2,FALSE)</f>
        <v>CENTRO</v>
      </c>
      <c r="K258">
        <f t="shared" si="3"/>
        <v>80</v>
      </c>
      <c r="L258" t="str">
        <f>_xlfn.IFS(Vendite!F258&lt;'Dati di Supporto'!$O$3,'Dati di Supporto'!$P$2,Vendite!F258&lt;'Dati di Supporto'!$O$4,'Dati di Supporto'!$P$3,Vendite!F258&lt;'Dati di Supporto'!$O$5,'Dati di Supporto'!$P$4,Vendite!F258&lt;'Dati di Supporto'!$O$6,'Dati di Supporto'!$P$5,Vendite!F258&gt;'Dati di Supporto'!$O$6,'Dati di Supporto'!$P$6)</f>
        <v>Fascia 3 (da 800 €  a meno di 1200 €)</v>
      </c>
      <c r="M258" t="str">
        <f>_xlfn.IFS(G258='Dati di Supporto'!$O$10,'Dati di Supporto'!$P$10,Vendite!G258='Dati di Supporto'!$O$11,'Dati di Supporto'!$P$11,Vendite!G258='Dati di Supporto'!$O$12,'Dati di Supporto'!$P$12,Vendite!G258='Dati di Supporto'!$O$13,'Dati di Supporto'!$P$13,Vendite!G258='Dati di Supporto'!$O$14,'Dati di Supporto'!$P$14)</f>
        <v>Assegno Bancario</v>
      </c>
    </row>
    <row r="259" spans="1:13" x14ac:dyDescent="0.3">
      <c r="A259" s="11">
        <v>258</v>
      </c>
      <c r="B259" s="6">
        <v>41714</v>
      </c>
      <c r="C259" s="1" t="s">
        <v>247</v>
      </c>
      <c r="D259" s="2" t="s">
        <v>133</v>
      </c>
      <c r="E259" s="2" t="s">
        <v>10</v>
      </c>
      <c r="F259" s="3">
        <v>173</v>
      </c>
      <c r="G259" s="15">
        <v>5</v>
      </c>
      <c r="H259" t="str">
        <f>VLOOKUP(D259,'Dati di Supporto'!$B$2:$C$104,2,FALSE)</f>
        <v>Calabria</v>
      </c>
      <c r="I259" t="str">
        <f>VLOOKUP(D259,'Dati di Supporto'!$B$2:$D$104,3,FALSE)</f>
        <v>VV</v>
      </c>
      <c r="J259" t="str">
        <f>VLOOKUP(H259,'Dati di Supporto'!$G$2:$H$21,2,FALSE)</f>
        <v>SUD</v>
      </c>
      <c r="K259">
        <f t="shared" ref="K259:K322" si="4">COUNTIF($C$2:$C$501,C259)</f>
        <v>83</v>
      </c>
      <c r="L259" t="str">
        <f>_xlfn.IFS(Vendite!F259&lt;'Dati di Supporto'!$O$3,'Dati di Supporto'!$P$2,Vendite!F259&lt;'Dati di Supporto'!$O$4,'Dati di Supporto'!$P$3,Vendite!F259&lt;'Dati di Supporto'!$O$5,'Dati di Supporto'!$P$4,Vendite!F259&lt;'Dati di Supporto'!$O$6,'Dati di Supporto'!$P$5,Vendite!F259&gt;'Dati di Supporto'!$O$6,'Dati di Supporto'!$P$6)</f>
        <v>Fascia 1 (inferiore a 400 €)</v>
      </c>
      <c r="M259" t="str">
        <f>_xlfn.IFS(G259='Dati di Supporto'!$O$10,'Dati di Supporto'!$P$10,Vendite!G259='Dati di Supporto'!$O$11,'Dati di Supporto'!$P$11,Vendite!G259='Dati di Supporto'!$O$12,'Dati di Supporto'!$P$12,Vendite!G259='Dati di Supporto'!$O$13,'Dati di Supporto'!$P$13,Vendite!G259='Dati di Supporto'!$O$14,'Dati di Supporto'!$P$14)</f>
        <v>Assegno Bancario</v>
      </c>
    </row>
    <row r="260" spans="1:13" x14ac:dyDescent="0.3">
      <c r="A260" s="11">
        <v>259</v>
      </c>
      <c r="B260" s="6">
        <v>41807</v>
      </c>
      <c r="C260" s="1" t="s">
        <v>3</v>
      </c>
      <c r="D260" s="2" t="s">
        <v>98</v>
      </c>
      <c r="E260" s="2" t="s">
        <v>10</v>
      </c>
      <c r="F260" s="3">
        <v>1960</v>
      </c>
      <c r="G260" s="15">
        <v>4</v>
      </c>
      <c r="H260" t="str">
        <f>VLOOKUP(D260,'Dati di Supporto'!$B$2:$C$104,2,FALSE)</f>
        <v>Umbria</v>
      </c>
      <c r="I260" t="str">
        <f>VLOOKUP(D260,'Dati di Supporto'!$B$2:$D$104,3,FALSE)</f>
        <v>PG</v>
      </c>
      <c r="J260" t="str">
        <f>VLOOKUP(H260,'Dati di Supporto'!$G$2:$H$21,2,FALSE)</f>
        <v>CENTRO</v>
      </c>
      <c r="K260">
        <f t="shared" si="4"/>
        <v>87</v>
      </c>
      <c r="L260" t="str">
        <f>_xlfn.IFS(Vendite!F260&lt;'Dati di Supporto'!$O$3,'Dati di Supporto'!$P$2,Vendite!F260&lt;'Dati di Supporto'!$O$4,'Dati di Supporto'!$P$3,Vendite!F260&lt;'Dati di Supporto'!$O$5,'Dati di Supporto'!$P$4,Vendite!F260&lt;'Dati di Supporto'!$O$6,'Dati di Supporto'!$P$5,Vendite!F260&gt;'Dati di Supporto'!$O$6,'Dati di Supporto'!$P$6)</f>
        <v>Fascia 5 (da 1500 € e oltre)</v>
      </c>
      <c r="M260" t="str">
        <f>_xlfn.IFS(G260='Dati di Supporto'!$O$10,'Dati di Supporto'!$P$10,Vendite!G260='Dati di Supporto'!$O$11,'Dati di Supporto'!$P$11,Vendite!G260='Dati di Supporto'!$O$12,'Dati di Supporto'!$P$12,Vendite!G260='Dati di Supporto'!$O$13,'Dati di Supporto'!$P$13,Vendite!G260='Dati di Supporto'!$O$14,'Dati di Supporto'!$P$14)</f>
        <v>Bollettino postale</v>
      </c>
    </row>
    <row r="261" spans="1:13" x14ac:dyDescent="0.3">
      <c r="A261" s="11">
        <v>260</v>
      </c>
      <c r="B261" s="6">
        <v>41752</v>
      </c>
      <c r="C261" s="1" t="s">
        <v>248</v>
      </c>
      <c r="D261" s="2" t="s">
        <v>131</v>
      </c>
      <c r="E261" s="2" t="s">
        <v>252</v>
      </c>
      <c r="F261" s="3">
        <v>910</v>
      </c>
      <c r="G261" s="15">
        <v>2</v>
      </c>
      <c r="H261" t="str">
        <f>VLOOKUP(D261,'Dati di Supporto'!$B$2:$C$104,2,FALSE)</f>
        <v>Piemonte</v>
      </c>
      <c r="I261" t="str">
        <f>VLOOKUP(D261,'Dati di Supporto'!$B$2:$D$104,3,FALSE)</f>
        <v>VC</v>
      </c>
      <c r="J261" t="str">
        <f>VLOOKUP(H261,'Dati di Supporto'!$G$2:$H$21,2,FALSE)</f>
        <v>NORD</v>
      </c>
      <c r="K261">
        <f t="shared" si="4"/>
        <v>80</v>
      </c>
      <c r="L261" t="str">
        <f>_xlfn.IFS(Vendite!F261&lt;'Dati di Supporto'!$O$3,'Dati di Supporto'!$P$2,Vendite!F261&lt;'Dati di Supporto'!$O$4,'Dati di Supporto'!$P$3,Vendite!F261&lt;'Dati di Supporto'!$O$5,'Dati di Supporto'!$P$4,Vendite!F261&lt;'Dati di Supporto'!$O$6,'Dati di Supporto'!$P$5,Vendite!F261&gt;'Dati di Supporto'!$O$6,'Dati di Supporto'!$P$6)</f>
        <v>Fascia 3 (da 800 €  a meno di 1200 €)</v>
      </c>
      <c r="M261" t="str">
        <f>_xlfn.IFS(G261='Dati di Supporto'!$O$10,'Dati di Supporto'!$P$10,Vendite!G261='Dati di Supporto'!$O$11,'Dati di Supporto'!$P$11,Vendite!G261='Dati di Supporto'!$O$12,'Dati di Supporto'!$P$12,Vendite!G261='Dati di Supporto'!$O$13,'Dati di Supporto'!$P$13,Vendite!G261='Dati di Supporto'!$O$14,'Dati di Supporto'!$P$14)</f>
        <v>Bonifico Bancario</v>
      </c>
    </row>
    <row r="262" spans="1:13" x14ac:dyDescent="0.3">
      <c r="A262" s="11">
        <v>261</v>
      </c>
      <c r="B262" s="6">
        <v>41766</v>
      </c>
      <c r="C262" s="1" t="s">
        <v>2</v>
      </c>
      <c r="D262" s="2" t="s">
        <v>97</v>
      </c>
      <c r="E262" s="2" t="s">
        <v>250</v>
      </c>
      <c r="F262" s="3">
        <v>830</v>
      </c>
      <c r="G262" s="15">
        <v>5</v>
      </c>
      <c r="H262" t="str">
        <f>VLOOKUP(D262,'Dati di Supporto'!$B$2:$C$104,2,FALSE)</f>
        <v>Lombardia</v>
      </c>
      <c r="I262" t="str">
        <f>VLOOKUP(D262,'Dati di Supporto'!$B$2:$D$104,3,FALSE)</f>
        <v>PV</v>
      </c>
      <c r="J262" t="str">
        <f>VLOOKUP(H262,'Dati di Supporto'!$G$2:$H$21,2,FALSE)</f>
        <v>NORD</v>
      </c>
      <c r="K262">
        <f t="shared" si="4"/>
        <v>84</v>
      </c>
      <c r="L262" t="str">
        <f>_xlfn.IFS(Vendite!F262&lt;'Dati di Supporto'!$O$3,'Dati di Supporto'!$P$2,Vendite!F262&lt;'Dati di Supporto'!$O$4,'Dati di Supporto'!$P$3,Vendite!F262&lt;'Dati di Supporto'!$O$5,'Dati di Supporto'!$P$4,Vendite!F262&lt;'Dati di Supporto'!$O$6,'Dati di Supporto'!$P$5,Vendite!F262&gt;'Dati di Supporto'!$O$6,'Dati di Supporto'!$P$6)</f>
        <v>Fascia 3 (da 800 €  a meno di 1200 €)</v>
      </c>
      <c r="M262" t="str">
        <f>_xlfn.IFS(G262='Dati di Supporto'!$O$10,'Dati di Supporto'!$P$10,Vendite!G262='Dati di Supporto'!$O$11,'Dati di Supporto'!$P$11,Vendite!G262='Dati di Supporto'!$O$12,'Dati di Supporto'!$P$12,Vendite!G262='Dati di Supporto'!$O$13,'Dati di Supporto'!$P$13,Vendite!G262='Dati di Supporto'!$O$14,'Dati di Supporto'!$P$14)</f>
        <v>Assegno Bancario</v>
      </c>
    </row>
    <row r="263" spans="1:13" x14ac:dyDescent="0.3">
      <c r="A263" s="11">
        <v>262</v>
      </c>
      <c r="B263" s="6">
        <v>41780</v>
      </c>
      <c r="C263" s="1" t="s">
        <v>248</v>
      </c>
      <c r="D263" s="2" t="s">
        <v>113</v>
      </c>
      <c r="E263" s="2" t="s">
        <v>251</v>
      </c>
      <c r="F263" s="3">
        <v>1006</v>
      </c>
      <c r="G263" s="15">
        <v>2</v>
      </c>
      <c r="H263" t="str">
        <f>VLOOKUP(D263,'Dati di Supporto'!$B$2:$C$104,2,FALSE)</f>
        <v>Campania</v>
      </c>
      <c r="I263" t="str">
        <f>VLOOKUP(D263,'Dati di Supporto'!$B$2:$D$104,3,FALSE)</f>
        <v>SA</v>
      </c>
      <c r="J263" t="str">
        <f>VLOOKUP(H263,'Dati di Supporto'!$G$2:$H$21,2,FALSE)</f>
        <v>SUD</v>
      </c>
      <c r="K263">
        <f t="shared" si="4"/>
        <v>80</v>
      </c>
      <c r="L263" t="str">
        <f>_xlfn.IFS(Vendite!F263&lt;'Dati di Supporto'!$O$3,'Dati di Supporto'!$P$2,Vendite!F263&lt;'Dati di Supporto'!$O$4,'Dati di Supporto'!$P$3,Vendite!F263&lt;'Dati di Supporto'!$O$5,'Dati di Supporto'!$P$4,Vendite!F263&lt;'Dati di Supporto'!$O$6,'Dati di Supporto'!$P$5,Vendite!F263&gt;'Dati di Supporto'!$O$6,'Dati di Supporto'!$P$6)</f>
        <v>Fascia 3 (da 800 €  a meno di 1200 €)</v>
      </c>
      <c r="M263" t="str">
        <f>_xlfn.IFS(G263='Dati di Supporto'!$O$10,'Dati di Supporto'!$P$10,Vendite!G263='Dati di Supporto'!$O$11,'Dati di Supporto'!$P$11,Vendite!G263='Dati di Supporto'!$O$12,'Dati di Supporto'!$P$12,Vendite!G263='Dati di Supporto'!$O$13,'Dati di Supporto'!$P$13,Vendite!G263='Dati di Supporto'!$O$14,'Dati di Supporto'!$P$14)</f>
        <v>Bonifico Bancario</v>
      </c>
    </row>
    <row r="264" spans="1:13" x14ac:dyDescent="0.3">
      <c r="A264" s="11">
        <v>263</v>
      </c>
      <c r="B264" s="6">
        <v>41667</v>
      </c>
      <c r="C264" s="1" t="s">
        <v>248</v>
      </c>
      <c r="D264" s="2" t="s">
        <v>104</v>
      </c>
      <c r="E264" s="2" t="s">
        <v>11</v>
      </c>
      <c r="F264" s="3">
        <v>268</v>
      </c>
      <c r="G264" s="15">
        <v>4</v>
      </c>
      <c r="H264" t="str">
        <f>VLOOKUP(D264,'Dati di Supporto'!$B$2:$C$104,2,FALSE)</f>
        <v>Friuli-Venezia Giulia</v>
      </c>
      <c r="I264" t="str">
        <f>VLOOKUP(D264,'Dati di Supporto'!$B$2:$D$104,3,FALSE)</f>
        <v>PN</v>
      </c>
      <c r="J264" t="str">
        <f>VLOOKUP(H264,'Dati di Supporto'!$G$2:$H$21,2,FALSE)</f>
        <v>NORD</v>
      </c>
      <c r="K264">
        <f t="shared" si="4"/>
        <v>80</v>
      </c>
      <c r="L264" t="str">
        <f>_xlfn.IFS(Vendite!F264&lt;'Dati di Supporto'!$O$3,'Dati di Supporto'!$P$2,Vendite!F264&lt;'Dati di Supporto'!$O$4,'Dati di Supporto'!$P$3,Vendite!F264&lt;'Dati di Supporto'!$O$5,'Dati di Supporto'!$P$4,Vendite!F264&lt;'Dati di Supporto'!$O$6,'Dati di Supporto'!$P$5,Vendite!F264&gt;'Dati di Supporto'!$O$6,'Dati di Supporto'!$P$6)</f>
        <v>Fascia 1 (inferiore a 400 €)</v>
      </c>
      <c r="M264" t="str">
        <f>_xlfn.IFS(G264='Dati di Supporto'!$O$10,'Dati di Supporto'!$P$10,Vendite!G264='Dati di Supporto'!$O$11,'Dati di Supporto'!$P$11,Vendite!G264='Dati di Supporto'!$O$12,'Dati di Supporto'!$P$12,Vendite!G264='Dati di Supporto'!$O$13,'Dati di Supporto'!$P$13,Vendite!G264='Dati di Supporto'!$O$14,'Dati di Supporto'!$P$14)</f>
        <v>Bollettino postale</v>
      </c>
    </row>
    <row r="265" spans="1:13" x14ac:dyDescent="0.3">
      <c r="A265" s="11">
        <v>264</v>
      </c>
      <c r="B265" s="6">
        <v>41743</v>
      </c>
      <c r="C265" s="1" t="s">
        <v>2</v>
      </c>
      <c r="D265" s="2" t="s">
        <v>98</v>
      </c>
      <c r="E265" s="2" t="s">
        <v>11</v>
      </c>
      <c r="F265" s="3">
        <v>1160</v>
      </c>
      <c r="G265" s="15">
        <v>5</v>
      </c>
      <c r="H265" t="str">
        <f>VLOOKUP(D265,'Dati di Supporto'!$B$2:$C$104,2,FALSE)</f>
        <v>Umbria</v>
      </c>
      <c r="I265" t="str">
        <f>VLOOKUP(D265,'Dati di Supporto'!$B$2:$D$104,3,FALSE)</f>
        <v>PG</v>
      </c>
      <c r="J265" t="str">
        <f>VLOOKUP(H265,'Dati di Supporto'!$G$2:$H$21,2,FALSE)</f>
        <v>CENTRO</v>
      </c>
      <c r="K265">
        <f t="shared" si="4"/>
        <v>84</v>
      </c>
      <c r="L265" t="str">
        <f>_xlfn.IFS(Vendite!F265&lt;'Dati di Supporto'!$O$3,'Dati di Supporto'!$P$2,Vendite!F265&lt;'Dati di Supporto'!$O$4,'Dati di Supporto'!$P$3,Vendite!F265&lt;'Dati di Supporto'!$O$5,'Dati di Supporto'!$P$4,Vendite!F265&lt;'Dati di Supporto'!$O$6,'Dati di Supporto'!$P$5,Vendite!F265&gt;'Dati di Supporto'!$O$6,'Dati di Supporto'!$P$6)</f>
        <v>Fascia 3 (da 800 €  a meno di 1200 €)</v>
      </c>
      <c r="M265" t="str">
        <f>_xlfn.IFS(G265='Dati di Supporto'!$O$10,'Dati di Supporto'!$P$10,Vendite!G265='Dati di Supporto'!$O$11,'Dati di Supporto'!$P$11,Vendite!G265='Dati di Supporto'!$O$12,'Dati di Supporto'!$P$12,Vendite!G265='Dati di Supporto'!$O$13,'Dati di Supporto'!$P$13,Vendite!G265='Dati di Supporto'!$O$14,'Dati di Supporto'!$P$14)</f>
        <v>Assegno Bancario</v>
      </c>
    </row>
    <row r="266" spans="1:13" x14ac:dyDescent="0.3">
      <c r="A266" s="11">
        <v>265</v>
      </c>
      <c r="B266" s="6">
        <v>41720</v>
      </c>
      <c r="C266" s="1" t="s">
        <v>1</v>
      </c>
      <c r="D266" s="2" t="s">
        <v>97</v>
      </c>
      <c r="E266" s="2" t="s">
        <v>11</v>
      </c>
      <c r="F266" s="3">
        <v>1000</v>
      </c>
      <c r="G266" s="15">
        <v>1</v>
      </c>
      <c r="H266" t="str">
        <f>VLOOKUP(D266,'Dati di Supporto'!$B$2:$C$104,2,FALSE)</f>
        <v>Lombardia</v>
      </c>
      <c r="I266" t="str">
        <f>VLOOKUP(D266,'Dati di Supporto'!$B$2:$D$104,3,FALSE)</f>
        <v>PV</v>
      </c>
      <c r="J266" t="str">
        <f>VLOOKUP(H266,'Dati di Supporto'!$G$2:$H$21,2,FALSE)</f>
        <v>NORD</v>
      </c>
      <c r="K266">
        <f t="shared" si="4"/>
        <v>96</v>
      </c>
      <c r="L266" t="str">
        <f>_xlfn.IFS(Vendite!F266&lt;'Dati di Supporto'!$O$3,'Dati di Supporto'!$P$2,Vendite!F266&lt;'Dati di Supporto'!$O$4,'Dati di Supporto'!$P$3,Vendite!F266&lt;'Dati di Supporto'!$O$5,'Dati di Supporto'!$P$4,Vendite!F266&lt;'Dati di Supporto'!$O$6,'Dati di Supporto'!$P$5,Vendite!F266&gt;'Dati di Supporto'!$O$6,'Dati di Supporto'!$P$6)</f>
        <v>Fascia 3 (da 800 €  a meno di 1200 €)</v>
      </c>
      <c r="M266" t="str">
        <f>_xlfn.IFS(G266='Dati di Supporto'!$O$10,'Dati di Supporto'!$P$10,Vendite!G266='Dati di Supporto'!$O$11,'Dati di Supporto'!$P$11,Vendite!G266='Dati di Supporto'!$O$12,'Dati di Supporto'!$P$12,Vendite!G266='Dati di Supporto'!$O$13,'Dati di Supporto'!$P$13,Vendite!G266='Dati di Supporto'!$O$14,'Dati di Supporto'!$P$14)</f>
        <v>Contanti</v>
      </c>
    </row>
    <row r="267" spans="1:13" x14ac:dyDescent="0.3">
      <c r="A267" s="11">
        <v>266</v>
      </c>
      <c r="B267" s="6">
        <v>41715</v>
      </c>
      <c r="C267" s="1" t="s">
        <v>3</v>
      </c>
      <c r="D267" s="2" t="s">
        <v>100</v>
      </c>
      <c r="E267" s="2" t="s">
        <v>252</v>
      </c>
      <c r="F267" s="3">
        <v>1733</v>
      </c>
      <c r="G267" s="15">
        <v>5</v>
      </c>
      <c r="H267" t="str">
        <f>VLOOKUP(D267,'Dati di Supporto'!$B$2:$C$104,2,FALSE)</f>
        <v>Abruzzo</v>
      </c>
      <c r="I267" t="str">
        <f>VLOOKUP(D267,'Dati di Supporto'!$B$2:$D$104,3,FALSE)</f>
        <v>PE</v>
      </c>
      <c r="J267" t="str">
        <f>VLOOKUP(H267,'Dati di Supporto'!$G$2:$H$21,2,FALSE)</f>
        <v>CENTRO</v>
      </c>
      <c r="K267">
        <f t="shared" si="4"/>
        <v>87</v>
      </c>
      <c r="L267" t="str">
        <f>_xlfn.IFS(Vendite!F267&lt;'Dati di Supporto'!$O$3,'Dati di Supporto'!$P$2,Vendite!F267&lt;'Dati di Supporto'!$O$4,'Dati di Supporto'!$P$3,Vendite!F267&lt;'Dati di Supporto'!$O$5,'Dati di Supporto'!$P$4,Vendite!F267&lt;'Dati di Supporto'!$O$6,'Dati di Supporto'!$P$5,Vendite!F267&gt;'Dati di Supporto'!$O$6,'Dati di Supporto'!$P$6)</f>
        <v>Fascia 5 (da 1500 € e oltre)</v>
      </c>
      <c r="M267" t="str">
        <f>_xlfn.IFS(G267='Dati di Supporto'!$O$10,'Dati di Supporto'!$P$10,Vendite!G267='Dati di Supporto'!$O$11,'Dati di Supporto'!$P$11,Vendite!G267='Dati di Supporto'!$O$12,'Dati di Supporto'!$P$12,Vendite!G267='Dati di Supporto'!$O$13,'Dati di Supporto'!$P$13,Vendite!G267='Dati di Supporto'!$O$14,'Dati di Supporto'!$P$14)</f>
        <v>Assegno Bancario</v>
      </c>
    </row>
    <row r="268" spans="1:13" x14ac:dyDescent="0.3">
      <c r="A268" s="11">
        <v>267</v>
      </c>
      <c r="B268" s="6">
        <v>41799</v>
      </c>
      <c r="C268" s="1" t="s">
        <v>248</v>
      </c>
      <c r="D268" s="2" t="s">
        <v>115</v>
      </c>
      <c r="E268" s="2" t="s">
        <v>252</v>
      </c>
      <c r="F268" s="3">
        <v>892</v>
      </c>
      <c r="G268" s="15">
        <v>4</v>
      </c>
      <c r="H268" t="str">
        <f>VLOOKUP(D268,'Dati di Supporto'!$B$2:$C$104,2,FALSE)</f>
        <v>Liguria</v>
      </c>
      <c r="I268" t="str">
        <f>VLOOKUP(D268,'Dati di Supporto'!$B$2:$D$104,3,FALSE)</f>
        <v>SV</v>
      </c>
      <c r="J268" t="str">
        <f>VLOOKUP(H268,'Dati di Supporto'!$G$2:$H$21,2,FALSE)</f>
        <v>NORD</v>
      </c>
      <c r="K268">
        <f t="shared" si="4"/>
        <v>80</v>
      </c>
      <c r="L268" t="str">
        <f>_xlfn.IFS(Vendite!F268&lt;'Dati di Supporto'!$O$3,'Dati di Supporto'!$P$2,Vendite!F268&lt;'Dati di Supporto'!$O$4,'Dati di Supporto'!$P$3,Vendite!F268&lt;'Dati di Supporto'!$O$5,'Dati di Supporto'!$P$4,Vendite!F268&lt;'Dati di Supporto'!$O$6,'Dati di Supporto'!$P$5,Vendite!F268&gt;'Dati di Supporto'!$O$6,'Dati di Supporto'!$P$6)</f>
        <v>Fascia 3 (da 800 €  a meno di 1200 €)</v>
      </c>
      <c r="M268" t="str">
        <f>_xlfn.IFS(G268='Dati di Supporto'!$O$10,'Dati di Supporto'!$P$10,Vendite!G268='Dati di Supporto'!$O$11,'Dati di Supporto'!$P$11,Vendite!G268='Dati di Supporto'!$O$12,'Dati di Supporto'!$P$12,Vendite!G268='Dati di Supporto'!$O$13,'Dati di Supporto'!$P$13,Vendite!G268='Dati di Supporto'!$O$14,'Dati di Supporto'!$P$14)</f>
        <v>Bollettino postale</v>
      </c>
    </row>
    <row r="269" spans="1:13" x14ac:dyDescent="0.3">
      <c r="A269" s="11">
        <v>268</v>
      </c>
      <c r="B269" s="6">
        <v>41778</v>
      </c>
      <c r="C269" s="1" t="s">
        <v>1</v>
      </c>
      <c r="D269" s="2" t="s">
        <v>107</v>
      </c>
      <c r="E269" s="2" t="s">
        <v>250</v>
      </c>
      <c r="F269" s="3">
        <v>425</v>
      </c>
      <c r="G269" s="15">
        <v>2</v>
      </c>
      <c r="H269" t="str">
        <f>VLOOKUP(D269,'Dati di Supporto'!$B$2:$C$104,2,FALSE)</f>
        <v>Sicilia</v>
      </c>
      <c r="I269" t="str">
        <f>VLOOKUP(D269,'Dati di Supporto'!$B$2:$D$104,3,FALSE)</f>
        <v>RG</v>
      </c>
      <c r="J269" t="str">
        <f>VLOOKUP(H269,'Dati di Supporto'!$G$2:$H$21,2,FALSE)</f>
        <v>ISOLE</v>
      </c>
      <c r="K269">
        <f t="shared" si="4"/>
        <v>96</v>
      </c>
      <c r="L269" t="str">
        <f>_xlfn.IFS(Vendite!F269&lt;'Dati di Supporto'!$O$3,'Dati di Supporto'!$P$2,Vendite!F269&lt;'Dati di Supporto'!$O$4,'Dati di Supporto'!$P$3,Vendite!F269&lt;'Dati di Supporto'!$O$5,'Dati di Supporto'!$P$4,Vendite!F269&lt;'Dati di Supporto'!$O$6,'Dati di Supporto'!$P$5,Vendite!F269&gt;'Dati di Supporto'!$O$6,'Dati di Supporto'!$P$6)</f>
        <v>Fascia 2 (da 400 €  a meno di 800 €)</v>
      </c>
      <c r="M269" t="str">
        <f>_xlfn.IFS(G269='Dati di Supporto'!$O$10,'Dati di Supporto'!$P$10,Vendite!G269='Dati di Supporto'!$O$11,'Dati di Supporto'!$P$11,Vendite!G269='Dati di Supporto'!$O$12,'Dati di Supporto'!$P$12,Vendite!G269='Dati di Supporto'!$O$13,'Dati di Supporto'!$P$13,Vendite!G269='Dati di Supporto'!$O$14,'Dati di Supporto'!$P$14)</f>
        <v>Bonifico Bancario</v>
      </c>
    </row>
    <row r="270" spans="1:13" x14ac:dyDescent="0.3">
      <c r="A270" s="11">
        <v>269</v>
      </c>
      <c r="B270" s="6">
        <v>41817</v>
      </c>
      <c r="C270" s="1" t="s">
        <v>1</v>
      </c>
      <c r="D270" s="2" t="s">
        <v>213</v>
      </c>
      <c r="E270" s="2" t="s">
        <v>250</v>
      </c>
      <c r="F270" s="3">
        <v>262</v>
      </c>
      <c r="G270" s="15">
        <v>3</v>
      </c>
      <c r="H270" t="str">
        <f>VLOOKUP(D270,'Dati di Supporto'!$B$2:$C$104,2,FALSE)</f>
        <v>Emilia-Romagna</v>
      </c>
      <c r="I270" t="str">
        <f>VLOOKUP(D270,'Dati di Supporto'!$B$2:$D$104,3,FALSE)</f>
        <v>RE</v>
      </c>
      <c r="J270" t="str">
        <f>VLOOKUP(H270,'Dati di Supporto'!$G$2:$H$21,2,FALSE)</f>
        <v>NORD</v>
      </c>
      <c r="K270">
        <f t="shared" si="4"/>
        <v>96</v>
      </c>
      <c r="L270" t="str">
        <f>_xlfn.IFS(Vendite!F270&lt;'Dati di Supporto'!$O$3,'Dati di Supporto'!$P$2,Vendite!F270&lt;'Dati di Supporto'!$O$4,'Dati di Supporto'!$P$3,Vendite!F270&lt;'Dati di Supporto'!$O$5,'Dati di Supporto'!$P$4,Vendite!F270&lt;'Dati di Supporto'!$O$6,'Dati di Supporto'!$P$5,Vendite!F270&gt;'Dati di Supporto'!$O$6,'Dati di Supporto'!$P$6)</f>
        <v>Fascia 1 (inferiore a 400 €)</v>
      </c>
      <c r="M270" t="str">
        <f>_xlfn.IFS(G270='Dati di Supporto'!$O$10,'Dati di Supporto'!$P$10,Vendite!G270='Dati di Supporto'!$O$11,'Dati di Supporto'!$P$11,Vendite!G270='Dati di Supporto'!$O$12,'Dati di Supporto'!$P$12,Vendite!G270='Dati di Supporto'!$O$13,'Dati di Supporto'!$P$13,Vendite!G270='Dati di Supporto'!$O$14,'Dati di Supporto'!$P$14)</f>
        <v>Carta di credito</v>
      </c>
    </row>
    <row r="271" spans="1:13" x14ac:dyDescent="0.3">
      <c r="A271" s="11">
        <v>270</v>
      </c>
      <c r="B271" s="6">
        <v>41774</v>
      </c>
      <c r="C271" s="1" t="s">
        <v>2</v>
      </c>
      <c r="D271" s="2" t="s">
        <v>108</v>
      </c>
      <c r="E271" s="2" t="s">
        <v>250</v>
      </c>
      <c r="F271" s="3">
        <v>1475</v>
      </c>
      <c r="G271" s="15">
        <v>3</v>
      </c>
      <c r="H271" t="str">
        <f>VLOOKUP(D271,'Dati di Supporto'!$B$2:$C$104,2,FALSE)</f>
        <v>Emilia-Romagna</v>
      </c>
      <c r="I271" t="str">
        <f>VLOOKUP(D271,'Dati di Supporto'!$B$2:$D$104,3,FALSE)</f>
        <v>RA</v>
      </c>
      <c r="J271" t="str">
        <f>VLOOKUP(H271,'Dati di Supporto'!$G$2:$H$21,2,FALSE)</f>
        <v>NORD</v>
      </c>
      <c r="K271">
        <f t="shared" si="4"/>
        <v>84</v>
      </c>
      <c r="L271" t="str">
        <f>_xlfn.IFS(Vendite!F271&lt;'Dati di Supporto'!$O$3,'Dati di Supporto'!$P$2,Vendite!F271&lt;'Dati di Supporto'!$O$4,'Dati di Supporto'!$P$3,Vendite!F271&lt;'Dati di Supporto'!$O$5,'Dati di Supporto'!$P$4,Vendite!F271&lt;'Dati di Supporto'!$O$6,'Dati di Supporto'!$P$5,Vendite!F271&gt;'Dati di Supporto'!$O$6,'Dati di Supporto'!$P$6)</f>
        <v>Fascia 4 (da 1200 €  a meno di 1500 €)</v>
      </c>
      <c r="M271" t="str">
        <f>_xlfn.IFS(G271='Dati di Supporto'!$O$10,'Dati di Supporto'!$P$10,Vendite!G271='Dati di Supporto'!$O$11,'Dati di Supporto'!$P$11,Vendite!G271='Dati di Supporto'!$O$12,'Dati di Supporto'!$P$12,Vendite!G271='Dati di Supporto'!$O$13,'Dati di Supporto'!$P$13,Vendite!G271='Dati di Supporto'!$O$14,'Dati di Supporto'!$P$14)</f>
        <v>Carta di credito</v>
      </c>
    </row>
    <row r="272" spans="1:13" x14ac:dyDescent="0.3">
      <c r="A272" s="11">
        <v>271</v>
      </c>
      <c r="B272" s="6">
        <v>41790</v>
      </c>
      <c r="C272" s="1" t="s">
        <v>247</v>
      </c>
      <c r="D272" s="2" t="s">
        <v>133</v>
      </c>
      <c r="E272" s="2" t="s">
        <v>250</v>
      </c>
      <c r="F272" s="3">
        <v>1483</v>
      </c>
      <c r="G272" s="15">
        <v>2</v>
      </c>
      <c r="H272" t="str">
        <f>VLOOKUP(D272,'Dati di Supporto'!$B$2:$C$104,2,FALSE)</f>
        <v>Calabria</v>
      </c>
      <c r="I272" t="str">
        <f>VLOOKUP(D272,'Dati di Supporto'!$B$2:$D$104,3,FALSE)</f>
        <v>VV</v>
      </c>
      <c r="J272" t="str">
        <f>VLOOKUP(H272,'Dati di Supporto'!$G$2:$H$21,2,FALSE)</f>
        <v>SUD</v>
      </c>
      <c r="K272">
        <f t="shared" si="4"/>
        <v>83</v>
      </c>
      <c r="L272" t="str">
        <f>_xlfn.IFS(Vendite!F272&lt;'Dati di Supporto'!$O$3,'Dati di Supporto'!$P$2,Vendite!F272&lt;'Dati di Supporto'!$O$4,'Dati di Supporto'!$P$3,Vendite!F272&lt;'Dati di Supporto'!$O$5,'Dati di Supporto'!$P$4,Vendite!F272&lt;'Dati di Supporto'!$O$6,'Dati di Supporto'!$P$5,Vendite!F272&gt;'Dati di Supporto'!$O$6,'Dati di Supporto'!$P$6)</f>
        <v>Fascia 4 (da 1200 €  a meno di 1500 €)</v>
      </c>
      <c r="M272" t="str">
        <f>_xlfn.IFS(G272='Dati di Supporto'!$O$10,'Dati di Supporto'!$P$10,Vendite!G272='Dati di Supporto'!$O$11,'Dati di Supporto'!$P$11,Vendite!G272='Dati di Supporto'!$O$12,'Dati di Supporto'!$P$12,Vendite!G272='Dati di Supporto'!$O$13,'Dati di Supporto'!$P$13,Vendite!G272='Dati di Supporto'!$O$14,'Dati di Supporto'!$P$14)</f>
        <v>Bonifico Bancario</v>
      </c>
    </row>
    <row r="273" spans="1:13" x14ac:dyDescent="0.3">
      <c r="A273" s="11">
        <v>272</v>
      </c>
      <c r="B273" s="6">
        <v>41768</v>
      </c>
      <c r="C273" s="1" t="s">
        <v>3</v>
      </c>
      <c r="D273" s="2" t="s">
        <v>110</v>
      </c>
      <c r="E273" s="2" t="s">
        <v>252</v>
      </c>
      <c r="F273" s="3">
        <v>1255</v>
      </c>
      <c r="G273" s="15">
        <v>5</v>
      </c>
      <c r="H273" t="str">
        <f>VLOOKUP(D273,'Dati di Supporto'!$B$2:$C$104,2,FALSE)</f>
        <v>Emilia-Romagna</v>
      </c>
      <c r="I273" t="str">
        <f>VLOOKUP(D273,'Dati di Supporto'!$B$2:$D$104,3,FALSE)</f>
        <v>RN</v>
      </c>
      <c r="J273" t="str">
        <f>VLOOKUP(H273,'Dati di Supporto'!$G$2:$H$21,2,FALSE)</f>
        <v>NORD</v>
      </c>
      <c r="K273">
        <f t="shared" si="4"/>
        <v>87</v>
      </c>
      <c r="L273" t="str">
        <f>_xlfn.IFS(Vendite!F273&lt;'Dati di Supporto'!$O$3,'Dati di Supporto'!$P$2,Vendite!F273&lt;'Dati di Supporto'!$O$4,'Dati di Supporto'!$P$3,Vendite!F273&lt;'Dati di Supporto'!$O$5,'Dati di Supporto'!$P$4,Vendite!F273&lt;'Dati di Supporto'!$O$6,'Dati di Supporto'!$P$5,Vendite!F273&gt;'Dati di Supporto'!$O$6,'Dati di Supporto'!$P$6)</f>
        <v>Fascia 4 (da 1200 €  a meno di 1500 €)</v>
      </c>
      <c r="M273" t="str">
        <f>_xlfn.IFS(G273='Dati di Supporto'!$O$10,'Dati di Supporto'!$P$10,Vendite!G273='Dati di Supporto'!$O$11,'Dati di Supporto'!$P$11,Vendite!G273='Dati di Supporto'!$O$12,'Dati di Supporto'!$P$12,Vendite!G273='Dati di Supporto'!$O$13,'Dati di Supporto'!$P$13,Vendite!G273='Dati di Supporto'!$O$14,'Dati di Supporto'!$P$14)</f>
        <v>Assegno Bancario</v>
      </c>
    </row>
    <row r="274" spans="1:13" x14ac:dyDescent="0.3">
      <c r="A274" s="11">
        <v>273</v>
      </c>
      <c r="B274" s="6">
        <v>41683</v>
      </c>
      <c r="C274" s="1" t="s">
        <v>3</v>
      </c>
      <c r="D274" s="2" t="s">
        <v>115</v>
      </c>
      <c r="E274" s="2" t="s">
        <v>250</v>
      </c>
      <c r="F274" s="3">
        <v>1687</v>
      </c>
      <c r="G274" s="15">
        <v>2</v>
      </c>
      <c r="H274" t="str">
        <f>VLOOKUP(D274,'Dati di Supporto'!$B$2:$C$104,2,FALSE)</f>
        <v>Liguria</v>
      </c>
      <c r="I274" t="str">
        <f>VLOOKUP(D274,'Dati di Supporto'!$B$2:$D$104,3,FALSE)</f>
        <v>SV</v>
      </c>
      <c r="J274" t="str">
        <f>VLOOKUP(H274,'Dati di Supporto'!$G$2:$H$21,2,FALSE)</f>
        <v>NORD</v>
      </c>
      <c r="K274">
        <f t="shared" si="4"/>
        <v>87</v>
      </c>
      <c r="L274" t="str">
        <f>_xlfn.IFS(Vendite!F274&lt;'Dati di Supporto'!$O$3,'Dati di Supporto'!$P$2,Vendite!F274&lt;'Dati di Supporto'!$O$4,'Dati di Supporto'!$P$3,Vendite!F274&lt;'Dati di Supporto'!$O$5,'Dati di Supporto'!$P$4,Vendite!F274&lt;'Dati di Supporto'!$O$6,'Dati di Supporto'!$P$5,Vendite!F274&gt;'Dati di Supporto'!$O$6,'Dati di Supporto'!$P$6)</f>
        <v>Fascia 5 (da 1500 € e oltre)</v>
      </c>
      <c r="M274" t="str">
        <f>_xlfn.IFS(G274='Dati di Supporto'!$O$10,'Dati di Supporto'!$P$10,Vendite!G274='Dati di Supporto'!$O$11,'Dati di Supporto'!$P$11,Vendite!G274='Dati di Supporto'!$O$12,'Dati di Supporto'!$P$12,Vendite!G274='Dati di Supporto'!$O$13,'Dati di Supporto'!$P$13,Vendite!G274='Dati di Supporto'!$O$14,'Dati di Supporto'!$P$14)</f>
        <v>Bonifico Bancario</v>
      </c>
    </row>
    <row r="275" spans="1:13" x14ac:dyDescent="0.3">
      <c r="A275" s="11">
        <v>274</v>
      </c>
      <c r="B275" s="6">
        <v>41683</v>
      </c>
      <c r="C275" s="1" t="s">
        <v>248</v>
      </c>
      <c r="D275" s="2" t="s">
        <v>134</v>
      </c>
      <c r="E275" s="2" t="s">
        <v>251</v>
      </c>
      <c r="F275" s="3">
        <v>792</v>
      </c>
      <c r="G275" s="15">
        <v>5</v>
      </c>
      <c r="H275" t="str">
        <f>VLOOKUP(D275,'Dati di Supporto'!$B$2:$C$104,2,FALSE)</f>
        <v>Veneto</v>
      </c>
      <c r="I275" t="str">
        <f>VLOOKUP(D275,'Dati di Supporto'!$B$2:$D$104,3,FALSE)</f>
        <v>VI</v>
      </c>
      <c r="J275" t="str">
        <f>VLOOKUP(H275,'Dati di Supporto'!$G$2:$H$21,2,FALSE)</f>
        <v>NORD</v>
      </c>
      <c r="K275">
        <f t="shared" si="4"/>
        <v>80</v>
      </c>
      <c r="L275" t="str">
        <f>_xlfn.IFS(Vendite!F275&lt;'Dati di Supporto'!$O$3,'Dati di Supporto'!$P$2,Vendite!F275&lt;'Dati di Supporto'!$O$4,'Dati di Supporto'!$P$3,Vendite!F275&lt;'Dati di Supporto'!$O$5,'Dati di Supporto'!$P$4,Vendite!F275&lt;'Dati di Supporto'!$O$6,'Dati di Supporto'!$P$5,Vendite!F275&gt;'Dati di Supporto'!$O$6,'Dati di Supporto'!$P$6)</f>
        <v>Fascia 2 (da 400 €  a meno di 800 €)</v>
      </c>
      <c r="M275" t="str">
        <f>_xlfn.IFS(G275='Dati di Supporto'!$O$10,'Dati di Supporto'!$P$10,Vendite!G275='Dati di Supporto'!$O$11,'Dati di Supporto'!$P$11,Vendite!G275='Dati di Supporto'!$O$12,'Dati di Supporto'!$P$12,Vendite!G275='Dati di Supporto'!$O$13,'Dati di Supporto'!$P$13,Vendite!G275='Dati di Supporto'!$O$14,'Dati di Supporto'!$P$14)</f>
        <v>Assegno Bancario</v>
      </c>
    </row>
    <row r="276" spans="1:13" x14ac:dyDescent="0.3">
      <c r="A276" s="11">
        <v>275</v>
      </c>
      <c r="B276" s="6">
        <v>41799</v>
      </c>
      <c r="C276" s="1" t="s">
        <v>248</v>
      </c>
      <c r="D276" s="2" t="s">
        <v>109</v>
      </c>
      <c r="E276" s="2" t="s">
        <v>11</v>
      </c>
      <c r="F276" s="3">
        <v>1284</v>
      </c>
      <c r="G276" s="15">
        <v>2</v>
      </c>
      <c r="H276" t="str">
        <f>VLOOKUP(D276,'Dati di Supporto'!$B$2:$C$104,2,FALSE)</f>
        <v>Lazio</v>
      </c>
      <c r="I276" t="str">
        <f>VLOOKUP(D276,'Dati di Supporto'!$B$2:$D$104,3,FALSE)</f>
        <v>RI</v>
      </c>
      <c r="J276" t="str">
        <f>VLOOKUP(H276,'Dati di Supporto'!$G$2:$H$21,2,FALSE)</f>
        <v>CENTRO</v>
      </c>
      <c r="K276">
        <f t="shared" si="4"/>
        <v>80</v>
      </c>
      <c r="L276" t="str">
        <f>_xlfn.IFS(Vendite!F276&lt;'Dati di Supporto'!$O$3,'Dati di Supporto'!$P$2,Vendite!F276&lt;'Dati di Supporto'!$O$4,'Dati di Supporto'!$P$3,Vendite!F276&lt;'Dati di Supporto'!$O$5,'Dati di Supporto'!$P$4,Vendite!F276&lt;'Dati di Supporto'!$O$6,'Dati di Supporto'!$P$5,Vendite!F276&gt;'Dati di Supporto'!$O$6,'Dati di Supporto'!$P$6)</f>
        <v>Fascia 4 (da 1200 €  a meno di 1500 €)</v>
      </c>
      <c r="M276" t="str">
        <f>_xlfn.IFS(G276='Dati di Supporto'!$O$10,'Dati di Supporto'!$P$10,Vendite!G276='Dati di Supporto'!$O$11,'Dati di Supporto'!$P$11,Vendite!G276='Dati di Supporto'!$O$12,'Dati di Supporto'!$P$12,Vendite!G276='Dati di Supporto'!$O$13,'Dati di Supporto'!$P$13,Vendite!G276='Dati di Supporto'!$O$14,'Dati di Supporto'!$P$14)</f>
        <v>Bonifico Bancario</v>
      </c>
    </row>
    <row r="277" spans="1:13" x14ac:dyDescent="0.3">
      <c r="A277" s="11">
        <v>276</v>
      </c>
      <c r="B277" s="6">
        <v>41730</v>
      </c>
      <c r="C277" s="1" t="s">
        <v>248</v>
      </c>
      <c r="D277" s="2" t="s">
        <v>106</v>
      </c>
      <c r="E277" s="2" t="s">
        <v>10</v>
      </c>
      <c r="F277" s="3">
        <v>1007</v>
      </c>
      <c r="G277" s="15">
        <v>3</v>
      </c>
      <c r="H277" t="str">
        <f>VLOOKUP(D277,'Dati di Supporto'!$B$2:$C$104,2,FALSE)</f>
        <v>Toscana</v>
      </c>
      <c r="I277" t="str">
        <f>VLOOKUP(D277,'Dati di Supporto'!$B$2:$D$104,3,FALSE)</f>
        <v>PO</v>
      </c>
      <c r="J277" t="str">
        <f>VLOOKUP(H277,'Dati di Supporto'!$G$2:$H$21,2,FALSE)</f>
        <v>CENTRO</v>
      </c>
      <c r="K277">
        <f t="shared" si="4"/>
        <v>80</v>
      </c>
      <c r="L277" t="str">
        <f>_xlfn.IFS(Vendite!F277&lt;'Dati di Supporto'!$O$3,'Dati di Supporto'!$P$2,Vendite!F277&lt;'Dati di Supporto'!$O$4,'Dati di Supporto'!$P$3,Vendite!F277&lt;'Dati di Supporto'!$O$5,'Dati di Supporto'!$P$4,Vendite!F277&lt;'Dati di Supporto'!$O$6,'Dati di Supporto'!$P$5,Vendite!F277&gt;'Dati di Supporto'!$O$6,'Dati di Supporto'!$P$6)</f>
        <v>Fascia 3 (da 800 €  a meno di 1200 €)</v>
      </c>
      <c r="M277" t="str">
        <f>_xlfn.IFS(G277='Dati di Supporto'!$O$10,'Dati di Supporto'!$P$10,Vendite!G277='Dati di Supporto'!$O$11,'Dati di Supporto'!$P$11,Vendite!G277='Dati di Supporto'!$O$12,'Dati di Supporto'!$P$12,Vendite!G277='Dati di Supporto'!$O$13,'Dati di Supporto'!$P$13,Vendite!G277='Dati di Supporto'!$O$14,'Dati di Supporto'!$P$14)</f>
        <v>Carta di credito</v>
      </c>
    </row>
    <row r="278" spans="1:13" x14ac:dyDescent="0.3">
      <c r="A278" s="11">
        <v>277</v>
      </c>
      <c r="B278" s="6">
        <v>41778</v>
      </c>
      <c r="C278" s="1" t="s">
        <v>2</v>
      </c>
      <c r="D278" s="2" t="s">
        <v>100</v>
      </c>
      <c r="E278" s="2" t="s">
        <v>250</v>
      </c>
      <c r="F278" s="3">
        <v>1313</v>
      </c>
      <c r="G278" s="15">
        <v>3</v>
      </c>
      <c r="H278" t="str">
        <f>VLOOKUP(D278,'Dati di Supporto'!$B$2:$C$104,2,FALSE)</f>
        <v>Abruzzo</v>
      </c>
      <c r="I278" t="str">
        <f>VLOOKUP(D278,'Dati di Supporto'!$B$2:$D$104,3,FALSE)</f>
        <v>PE</v>
      </c>
      <c r="J278" t="str">
        <f>VLOOKUP(H278,'Dati di Supporto'!$G$2:$H$21,2,FALSE)</f>
        <v>CENTRO</v>
      </c>
      <c r="K278">
        <f t="shared" si="4"/>
        <v>84</v>
      </c>
      <c r="L278" t="str">
        <f>_xlfn.IFS(Vendite!F278&lt;'Dati di Supporto'!$O$3,'Dati di Supporto'!$P$2,Vendite!F278&lt;'Dati di Supporto'!$O$4,'Dati di Supporto'!$P$3,Vendite!F278&lt;'Dati di Supporto'!$O$5,'Dati di Supporto'!$P$4,Vendite!F278&lt;'Dati di Supporto'!$O$6,'Dati di Supporto'!$P$5,Vendite!F278&gt;'Dati di Supporto'!$O$6,'Dati di Supporto'!$P$6)</f>
        <v>Fascia 4 (da 1200 €  a meno di 1500 €)</v>
      </c>
      <c r="M278" t="str">
        <f>_xlfn.IFS(G278='Dati di Supporto'!$O$10,'Dati di Supporto'!$P$10,Vendite!G278='Dati di Supporto'!$O$11,'Dati di Supporto'!$P$11,Vendite!G278='Dati di Supporto'!$O$12,'Dati di Supporto'!$P$12,Vendite!G278='Dati di Supporto'!$O$13,'Dati di Supporto'!$P$13,Vendite!G278='Dati di Supporto'!$O$14,'Dati di Supporto'!$P$14)</f>
        <v>Carta di credito</v>
      </c>
    </row>
    <row r="279" spans="1:13" x14ac:dyDescent="0.3">
      <c r="A279" s="11">
        <v>278</v>
      </c>
      <c r="B279" s="6">
        <v>41758</v>
      </c>
      <c r="C279" s="1" t="s">
        <v>2</v>
      </c>
      <c r="D279" s="2" t="s">
        <v>211</v>
      </c>
      <c r="E279" s="2" t="s">
        <v>251</v>
      </c>
      <c r="F279" s="3">
        <v>535</v>
      </c>
      <c r="G279" s="15">
        <v>4</v>
      </c>
      <c r="H279" t="str">
        <f>VLOOKUP(D279,'Dati di Supporto'!$B$2:$C$104,2,FALSE)</f>
        <v>Calabria</v>
      </c>
      <c r="I279" t="str">
        <f>VLOOKUP(D279,'Dati di Supporto'!$B$2:$D$104,3,FALSE)</f>
        <v>RC</v>
      </c>
      <c r="J279" t="str">
        <f>VLOOKUP(H279,'Dati di Supporto'!$G$2:$H$21,2,FALSE)</f>
        <v>SUD</v>
      </c>
      <c r="K279">
        <f t="shared" si="4"/>
        <v>84</v>
      </c>
      <c r="L279" t="str">
        <f>_xlfn.IFS(Vendite!F279&lt;'Dati di Supporto'!$O$3,'Dati di Supporto'!$P$2,Vendite!F279&lt;'Dati di Supporto'!$O$4,'Dati di Supporto'!$P$3,Vendite!F279&lt;'Dati di Supporto'!$O$5,'Dati di Supporto'!$P$4,Vendite!F279&lt;'Dati di Supporto'!$O$6,'Dati di Supporto'!$P$5,Vendite!F279&gt;'Dati di Supporto'!$O$6,'Dati di Supporto'!$P$6)</f>
        <v>Fascia 2 (da 400 €  a meno di 800 €)</v>
      </c>
      <c r="M279" t="str">
        <f>_xlfn.IFS(G279='Dati di Supporto'!$O$10,'Dati di Supporto'!$P$10,Vendite!G279='Dati di Supporto'!$O$11,'Dati di Supporto'!$P$11,Vendite!G279='Dati di Supporto'!$O$12,'Dati di Supporto'!$P$12,Vendite!G279='Dati di Supporto'!$O$13,'Dati di Supporto'!$P$13,Vendite!G279='Dati di Supporto'!$O$14,'Dati di Supporto'!$P$14)</f>
        <v>Bollettino postale</v>
      </c>
    </row>
    <row r="280" spans="1:13" x14ac:dyDescent="0.3">
      <c r="A280" s="11">
        <v>279</v>
      </c>
      <c r="B280" s="6">
        <v>41743</v>
      </c>
      <c r="C280" s="1" t="s">
        <v>2</v>
      </c>
      <c r="D280" s="2" t="s">
        <v>106</v>
      </c>
      <c r="E280" s="2" t="s">
        <v>250</v>
      </c>
      <c r="F280" s="3">
        <v>930</v>
      </c>
      <c r="G280" s="15">
        <v>5</v>
      </c>
      <c r="H280" t="str">
        <f>VLOOKUP(D280,'Dati di Supporto'!$B$2:$C$104,2,FALSE)</f>
        <v>Toscana</v>
      </c>
      <c r="I280" t="str">
        <f>VLOOKUP(D280,'Dati di Supporto'!$B$2:$D$104,3,FALSE)</f>
        <v>PO</v>
      </c>
      <c r="J280" t="str">
        <f>VLOOKUP(H280,'Dati di Supporto'!$G$2:$H$21,2,FALSE)</f>
        <v>CENTRO</v>
      </c>
      <c r="K280">
        <f t="shared" si="4"/>
        <v>84</v>
      </c>
      <c r="L280" t="str">
        <f>_xlfn.IFS(Vendite!F280&lt;'Dati di Supporto'!$O$3,'Dati di Supporto'!$P$2,Vendite!F280&lt;'Dati di Supporto'!$O$4,'Dati di Supporto'!$P$3,Vendite!F280&lt;'Dati di Supporto'!$O$5,'Dati di Supporto'!$P$4,Vendite!F280&lt;'Dati di Supporto'!$O$6,'Dati di Supporto'!$P$5,Vendite!F280&gt;'Dati di Supporto'!$O$6,'Dati di Supporto'!$P$6)</f>
        <v>Fascia 3 (da 800 €  a meno di 1200 €)</v>
      </c>
      <c r="M280" t="str">
        <f>_xlfn.IFS(G280='Dati di Supporto'!$O$10,'Dati di Supporto'!$P$10,Vendite!G280='Dati di Supporto'!$O$11,'Dati di Supporto'!$P$11,Vendite!G280='Dati di Supporto'!$O$12,'Dati di Supporto'!$P$12,Vendite!G280='Dati di Supporto'!$O$13,'Dati di Supporto'!$P$13,Vendite!G280='Dati di Supporto'!$O$14,'Dati di Supporto'!$P$14)</f>
        <v>Assegno Bancario</v>
      </c>
    </row>
    <row r="281" spans="1:13" x14ac:dyDescent="0.3">
      <c r="A281" s="11">
        <v>280</v>
      </c>
      <c r="B281" s="6">
        <v>41678</v>
      </c>
      <c r="C281" s="1" t="s">
        <v>8</v>
      </c>
      <c r="D281" s="2" t="s">
        <v>128</v>
      </c>
      <c r="E281" s="2" t="s">
        <v>10</v>
      </c>
      <c r="F281" s="3">
        <v>1008</v>
      </c>
      <c r="G281" s="15">
        <v>3</v>
      </c>
      <c r="H281" t="str">
        <f>VLOOKUP(D281,'Dati di Supporto'!$B$2:$C$104,2,FALSE)</f>
        <v>Lombardia</v>
      </c>
      <c r="I281" t="str">
        <f>VLOOKUP(D281,'Dati di Supporto'!$B$2:$D$104,3,FALSE)</f>
        <v>VA</v>
      </c>
      <c r="J281" t="str">
        <f>VLOOKUP(H281,'Dati di Supporto'!$G$2:$H$21,2,FALSE)</f>
        <v>NORD</v>
      </c>
      <c r="K281">
        <f t="shared" si="4"/>
        <v>70</v>
      </c>
      <c r="L281" t="str">
        <f>_xlfn.IFS(Vendite!F281&lt;'Dati di Supporto'!$O$3,'Dati di Supporto'!$P$2,Vendite!F281&lt;'Dati di Supporto'!$O$4,'Dati di Supporto'!$P$3,Vendite!F281&lt;'Dati di Supporto'!$O$5,'Dati di Supporto'!$P$4,Vendite!F281&lt;'Dati di Supporto'!$O$6,'Dati di Supporto'!$P$5,Vendite!F281&gt;'Dati di Supporto'!$O$6,'Dati di Supporto'!$P$6)</f>
        <v>Fascia 3 (da 800 €  a meno di 1200 €)</v>
      </c>
      <c r="M281" t="str">
        <f>_xlfn.IFS(G281='Dati di Supporto'!$O$10,'Dati di Supporto'!$P$10,Vendite!G281='Dati di Supporto'!$O$11,'Dati di Supporto'!$P$11,Vendite!G281='Dati di Supporto'!$O$12,'Dati di Supporto'!$P$12,Vendite!G281='Dati di Supporto'!$O$13,'Dati di Supporto'!$P$13,Vendite!G281='Dati di Supporto'!$O$14,'Dati di Supporto'!$P$14)</f>
        <v>Carta di credito</v>
      </c>
    </row>
    <row r="282" spans="1:13" x14ac:dyDescent="0.3">
      <c r="A282" s="11">
        <v>281</v>
      </c>
      <c r="B282" s="6">
        <v>41656</v>
      </c>
      <c r="C282" s="1" t="s">
        <v>247</v>
      </c>
      <c r="D282" s="2" t="s">
        <v>119</v>
      </c>
      <c r="E282" s="2" t="s">
        <v>250</v>
      </c>
      <c r="F282" s="3">
        <v>840</v>
      </c>
      <c r="G282" s="15">
        <v>1</v>
      </c>
      <c r="H282" t="str">
        <f>VLOOKUP(D282,'Dati di Supporto'!$B$2:$C$104,2,FALSE)</f>
        <v>Puglia</v>
      </c>
      <c r="I282" t="str">
        <f>VLOOKUP(D282,'Dati di Supporto'!$B$2:$D$104,3,FALSE)</f>
        <v>TA</v>
      </c>
      <c r="J282" t="str">
        <f>VLOOKUP(H282,'Dati di Supporto'!$G$2:$H$21,2,FALSE)</f>
        <v>SUD</v>
      </c>
      <c r="K282">
        <f t="shared" si="4"/>
        <v>83</v>
      </c>
      <c r="L282" t="str">
        <f>_xlfn.IFS(Vendite!F282&lt;'Dati di Supporto'!$O$3,'Dati di Supporto'!$P$2,Vendite!F282&lt;'Dati di Supporto'!$O$4,'Dati di Supporto'!$P$3,Vendite!F282&lt;'Dati di Supporto'!$O$5,'Dati di Supporto'!$P$4,Vendite!F282&lt;'Dati di Supporto'!$O$6,'Dati di Supporto'!$P$5,Vendite!F282&gt;'Dati di Supporto'!$O$6,'Dati di Supporto'!$P$6)</f>
        <v>Fascia 3 (da 800 €  a meno di 1200 €)</v>
      </c>
      <c r="M282" t="str">
        <f>_xlfn.IFS(G282='Dati di Supporto'!$O$10,'Dati di Supporto'!$P$10,Vendite!G282='Dati di Supporto'!$O$11,'Dati di Supporto'!$P$11,Vendite!G282='Dati di Supporto'!$O$12,'Dati di Supporto'!$P$12,Vendite!G282='Dati di Supporto'!$O$13,'Dati di Supporto'!$P$13,Vendite!G282='Dati di Supporto'!$O$14,'Dati di Supporto'!$P$14)</f>
        <v>Contanti</v>
      </c>
    </row>
    <row r="283" spans="1:13" x14ac:dyDescent="0.3">
      <c r="A283" s="11">
        <v>282</v>
      </c>
      <c r="B283" s="6">
        <v>41801</v>
      </c>
      <c r="C283" s="1" t="s">
        <v>1</v>
      </c>
      <c r="D283" s="2" t="s">
        <v>116</v>
      </c>
      <c r="E283" s="2" t="s">
        <v>250</v>
      </c>
      <c r="F283" s="3">
        <v>58</v>
      </c>
      <c r="G283" s="15">
        <v>5</v>
      </c>
      <c r="H283" t="str">
        <f>VLOOKUP(D283,'Dati di Supporto'!$B$2:$C$104,2,FALSE)</f>
        <v>Toscana</v>
      </c>
      <c r="I283" t="str">
        <f>VLOOKUP(D283,'Dati di Supporto'!$B$2:$D$104,3,FALSE)</f>
        <v>SI</v>
      </c>
      <c r="J283" t="str">
        <f>VLOOKUP(H283,'Dati di Supporto'!$G$2:$H$21,2,FALSE)</f>
        <v>CENTRO</v>
      </c>
      <c r="K283">
        <f t="shared" si="4"/>
        <v>96</v>
      </c>
      <c r="L283" t="str">
        <f>_xlfn.IFS(Vendite!F283&lt;'Dati di Supporto'!$O$3,'Dati di Supporto'!$P$2,Vendite!F283&lt;'Dati di Supporto'!$O$4,'Dati di Supporto'!$P$3,Vendite!F283&lt;'Dati di Supporto'!$O$5,'Dati di Supporto'!$P$4,Vendite!F283&lt;'Dati di Supporto'!$O$6,'Dati di Supporto'!$P$5,Vendite!F283&gt;'Dati di Supporto'!$O$6,'Dati di Supporto'!$P$6)</f>
        <v>Fascia 1 (inferiore a 400 €)</v>
      </c>
      <c r="M283" t="str">
        <f>_xlfn.IFS(G283='Dati di Supporto'!$O$10,'Dati di Supporto'!$P$10,Vendite!G283='Dati di Supporto'!$O$11,'Dati di Supporto'!$P$11,Vendite!G283='Dati di Supporto'!$O$12,'Dati di Supporto'!$P$12,Vendite!G283='Dati di Supporto'!$O$13,'Dati di Supporto'!$P$13,Vendite!G283='Dati di Supporto'!$O$14,'Dati di Supporto'!$P$14)</f>
        <v>Assegno Bancario</v>
      </c>
    </row>
    <row r="284" spans="1:13" x14ac:dyDescent="0.3">
      <c r="A284" s="11">
        <v>283</v>
      </c>
      <c r="B284" s="6">
        <v>41743</v>
      </c>
      <c r="C284" s="1" t="s">
        <v>8</v>
      </c>
      <c r="D284" s="2" t="s">
        <v>123</v>
      </c>
      <c r="E284" s="2" t="s">
        <v>252</v>
      </c>
      <c r="F284" s="3">
        <v>652</v>
      </c>
      <c r="G284" s="15">
        <v>5</v>
      </c>
      <c r="H284" t="str">
        <f>VLOOKUP(D284,'Dati di Supporto'!$B$2:$C$104,2,FALSE)</f>
        <v>Sicilia</v>
      </c>
      <c r="I284" t="str">
        <f>VLOOKUP(D284,'Dati di Supporto'!$B$2:$D$104,3,FALSE)</f>
        <v>TP</v>
      </c>
      <c r="J284" t="str">
        <f>VLOOKUP(H284,'Dati di Supporto'!$G$2:$H$21,2,FALSE)</f>
        <v>ISOLE</v>
      </c>
      <c r="K284">
        <f t="shared" si="4"/>
        <v>70</v>
      </c>
      <c r="L284" t="str">
        <f>_xlfn.IFS(Vendite!F284&lt;'Dati di Supporto'!$O$3,'Dati di Supporto'!$P$2,Vendite!F284&lt;'Dati di Supporto'!$O$4,'Dati di Supporto'!$P$3,Vendite!F284&lt;'Dati di Supporto'!$O$5,'Dati di Supporto'!$P$4,Vendite!F284&lt;'Dati di Supporto'!$O$6,'Dati di Supporto'!$P$5,Vendite!F284&gt;'Dati di Supporto'!$O$6,'Dati di Supporto'!$P$6)</f>
        <v>Fascia 2 (da 400 €  a meno di 800 €)</v>
      </c>
      <c r="M284" t="str">
        <f>_xlfn.IFS(G284='Dati di Supporto'!$O$10,'Dati di Supporto'!$P$10,Vendite!G284='Dati di Supporto'!$O$11,'Dati di Supporto'!$P$11,Vendite!G284='Dati di Supporto'!$O$12,'Dati di Supporto'!$P$12,Vendite!G284='Dati di Supporto'!$O$13,'Dati di Supporto'!$P$13,Vendite!G284='Dati di Supporto'!$O$14,'Dati di Supporto'!$P$14)</f>
        <v>Assegno Bancario</v>
      </c>
    </row>
    <row r="285" spans="1:13" x14ac:dyDescent="0.3">
      <c r="A285" s="11">
        <v>284</v>
      </c>
      <c r="B285" s="6">
        <v>41788</v>
      </c>
      <c r="C285" s="1" t="s">
        <v>3</v>
      </c>
      <c r="D285" s="2" t="s">
        <v>122</v>
      </c>
      <c r="E285" s="2" t="s">
        <v>250</v>
      </c>
      <c r="F285" s="3">
        <v>834</v>
      </c>
      <c r="G285" s="15">
        <v>2</v>
      </c>
      <c r="H285" t="str">
        <f>VLOOKUP(D285,'Dati di Supporto'!$B$2:$C$104,2,FALSE)</f>
        <v>Piemonte</v>
      </c>
      <c r="I285" t="str">
        <f>VLOOKUP(D285,'Dati di Supporto'!$B$2:$D$104,3,FALSE)</f>
        <v>TO</v>
      </c>
      <c r="J285" t="str">
        <f>VLOOKUP(H285,'Dati di Supporto'!$G$2:$H$21,2,FALSE)</f>
        <v>NORD</v>
      </c>
      <c r="K285">
        <f t="shared" si="4"/>
        <v>87</v>
      </c>
      <c r="L285" t="str">
        <f>_xlfn.IFS(Vendite!F285&lt;'Dati di Supporto'!$O$3,'Dati di Supporto'!$P$2,Vendite!F285&lt;'Dati di Supporto'!$O$4,'Dati di Supporto'!$P$3,Vendite!F285&lt;'Dati di Supporto'!$O$5,'Dati di Supporto'!$P$4,Vendite!F285&lt;'Dati di Supporto'!$O$6,'Dati di Supporto'!$P$5,Vendite!F285&gt;'Dati di Supporto'!$O$6,'Dati di Supporto'!$P$6)</f>
        <v>Fascia 3 (da 800 €  a meno di 1200 €)</v>
      </c>
      <c r="M285" t="str">
        <f>_xlfn.IFS(G285='Dati di Supporto'!$O$10,'Dati di Supporto'!$P$10,Vendite!G285='Dati di Supporto'!$O$11,'Dati di Supporto'!$P$11,Vendite!G285='Dati di Supporto'!$O$12,'Dati di Supporto'!$P$12,Vendite!G285='Dati di Supporto'!$O$13,'Dati di Supporto'!$P$13,Vendite!G285='Dati di Supporto'!$O$14,'Dati di Supporto'!$P$14)</f>
        <v>Bonifico Bancario</v>
      </c>
    </row>
    <row r="286" spans="1:13" x14ac:dyDescent="0.3">
      <c r="A286" s="11">
        <v>285</v>
      </c>
      <c r="B286" s="6">
        <v>41746</v>
      </c>
      <c r="C286" s="1" t="s">
        <v>1</v>
      </c>
      <c r="D286" s="2" t="s">
        <v>120</v>
      </c>
      <c r="E286" s="2" t="s">
        <v>252</v>
      </c>
      <c r="F286" s="3">
        <v>1394</v>
      </c>
      <c r="G286" s="15">
        <v>5</v>
      </c>
      <c r="H286" t="str">
        <f>VLOOKUP(D286,'Dati di Supporto'!$B$2:$C$104,2,FALSE)</f>
        <v>Abruzzo</v>
      </c>
      <c r="I286" t="str">
        <f>VLOOKUP(D286,'Dati di Supporto'!$B$2:$D$104,3,FALSE)</f>
        <v>TE</v>
      </c>
      <c r="J286" t="str">
        <f>VLOOKUP(H286,'Dati di Supporto'!$G$2:$H$21,2,FALSE)</f>
        <v>CENTRO</v>
      </c>
      <c r="K286">
        <f t="shared" si="4"/>
        <v>96</v>
      </c>
      <c r="L286" t="str">
        <f>_xlfn.IFS(Vendite!F286&lt;'Dati di Supporto'!$O$3,'Dati di Supporto'!$P$2,Vendite!F286&lt;'Dati di Supporto'!$O$4,'Dati di Supporto'!$P$3,Vendite!F286&lt;'Dati di Supporto'!$O$5,'Dati di Supporto'!$P$4,Vendite!F286&lt;'Dati di Supporto'!$O$6,'Dati di Supporto'!$P$5,Vendite!F286&gt;'Dati di Supporto'!$O$6,'Dati di Supporto'!$P$6)</f>
        <v>Fascia 4 (da 1200 €  a meno di 1500 €)</v>
      </c>
      <c r="M286" t="str">
        <f>_xlfn.IFS(G286='Dati di Supporto'!$O$10,'Dati di Supporto'!$P$10,Vendite!G286='Dati di Supporto'!$O$11,'Dati di Supporto'!$P$11,Vendite!G286='Dati di Supporto'!$O$12,'Dati di Supporto'!$P$12,Vendite!G286='Dati di Supporto'!$O$13,'Dati di Supporto'!$P$13,Vendite!G286='Dati di Supporto'!$O$14,'Dati di Supporto'!$P$14)</f>
        <v>Assegno Bancario</v>
      </c>
    </row>
    <row r="287" spans="1:13" x14ac:dyDescent="0.3">
      <c r="A287" s="11">
        <v>286</v>
      </c>
      <c r="B287" s="6">
        <v>41740</v>
      </c>
      <c r="C287" s="1" t="s">
        <v>1</v>
      </c>
      <c r="D287" s="2" t="s">
        <v>98</v>
      </c>
      <c r="E287" s="2" t="s">
        <v>10</v>
      </c>
      <c r="F287" s="3">
        <v>1809</v>
      </c>
      <c r="G287" s="15">
        <v>2</v>
      </c>
      <c r="H287" t="str">
        <f>VLOOKUP(D287,'Dati di Supporto'!$B$2:$C$104,2,FALSE)</f>
        <v>Umbria</v>
      </c>
      <c r="I287" t="str">
        <f>VLOOKUP(D287,'Dati di Supporto'!$B$2:$D$104,3,FALSE)</f>
        <v>PG</v>
      </c>
      <c r="J287" t="str">
        <f>VLOOKUP(H287,'Dati di Supporto'!$G$2:$H$21,2,FALSE)</f>
        <v>CENTRO</v>
      </c>
      <c r="K287">
        <f t="shared" si="4"/>
        <v>96</v>
      </c>
      <c r="L287" t="str">
        <f>_xlfn.IFS(Vendite!F287&lt;'Dati di Supporto'!$O$3,'Dati di Supporto'!$P$2,Vendite!F287&lt;'Dati di Supporto'!$O$4,'Dati di Supporto'!$P$3,Vendite!F287&lt;'Dati di Supporto'!$O$5,'Dati di Supporto'!$P$4,Vendite!F287&lt;'Dati di Supporto'!$O$6,'Dati di Supporto'!$P$5,Vendite!F287&gt;'Dati di Supporto'!$O$6,'Dati di Supporto'!$P$6)</f>
        <v>Fascia 5 (da 1500 € e oltre)</v>
      </c>
      <c r="M287" t="str">
        <f>_xlfn.IFS(G287='Dati di Supporto'!$O$10,'Dati di Supporto'!$P$10,Vendite!G287='Dati di Supporto'!$O$11,'Dati di Supporto'!$P$11,Vendite!G287='Dati di Supporto'!$O$12,'Dati di Supporto'!$P$12,Vendite!G287='Dati di Supporto'!$O$13,'Dati di Supporto'!$P$13,Vendite!G287='Dati di Supporto'!$O$14,'Dati di Supporto'!$P$14)</f>
        <v>Bonifico Bancario</v>
      </c>
    </row>
    <row r="288" spans="1:13" x14ac:dyDescent="0.3">
      <c r="A288" s="11">
        <v>287</v>
      </c>
      <c r="B288" s="6">
        <v>41757</v>
      </c>
      <c r="C288" s="1" t="s">
        <v>247</v>
      </c>
      <c r="D288" s="2" t="s">
        <v>109</v>
      </c>
      <c r="E288" s="2" t="s">
        <v>10</v>
      </c>
      <c r="F288" s="3">
        <v>1381</v>
      </c>
      <c r="G288" s="15">
        <v>3</v>
      </c>
      <c r="H288" t="str">
        <f>VLOOKUP(D288,'Dati di Supporto'!$B$2:$C$104,2,FALSE)</f>
        <v>Lazio</v>
      </c>
      <c r="I288" t="str">
        <f>VLOOKUP(D288,'Dati di Supporto'!$B$2:$D$104,3,FALSE)</f>
        <v>RI</v>
      </c>
      <c r="J288" t="str">
        <f>VLOOKUP(H288,'Dati di Supporto'!$G$2:$H$21,2,FALSE)</f>
        <v>CENTRO</v>
      </c>
      <c r="K288">
        <f t="shared" si="4"/>
        <v>83</v>
      </c>
      <c r="L288" t="str">
        <f>_xlfn.IFS(Vendite!F288&lt;'Dati di Supporto'!$O$3,'Dati di Supporto'!$P$2,Vendite!F288&lt;'Dati di Supporto'!$O$4,'Dati di Supporto'!$P$3,Vendite!F288&lt;'Dati di Supporto'!$O$5,'Dati di Supporto'!$P$4,Vendite!F288&lt;'Dati di Supporto'!$O$6,'Dati di Supporto'!$P$5,Vendite!F288&gt;'Dati di Supporto'!$O$6,'Dati di Supporto'!$P$6)</f>
        <v>Fascia 4 (da 1200 €  a meno di 1500 €)</v>
      </c>
      <c r="M288" t="str">
        <f>_xlfn.IFS(G288='Dati di Supporto'!$O$10,'Dati di Supporto'!$P$10,Vendite!G288='Dati di Supporto'!$O$11,'Dati di Supporto'!$P$11,Vendite!G288='Dati di Supporto'!$O$12,'Dati di Supporto'!$P$12,Vendite!G288='Dati di Supporto'!$O$13,'Dati di Supporto'!$P$13,Vendite!G288='Dati di Supporto'!$O$14,'Dati di Supporto'!$P$14)</f>
        <v>Carta di credito</v>
      </c>
    </row>
    <row r="289" spans="1:13" x14ac:dyDescent="0.3">
      <c r="A289" s="11">
        <v>288</v>
      </c>
      <c r="B289" s="6">
        <v>41697</v>
      </c>
      <c r="C289" s="1" t="s">
        <v>248</v>
      </c>
      <c r="D289" s="2" t="s">
        <v>102</v>
      </c>
      <c r="E289" s="2" t="s">
        <v>250</v>
      </c>
      <c r="F289" s="3">
        <v>742</v>
      </c>
      <c r="G289" s="15">
        <v>1</v>
      </c>
      <c r="H289" t="str">
        <f>VLOOKUP(D289,'Dati di Supporto'!$B$2:$C$104,2,FALSE)</f>
        <v>Toscana</v>
      </c>
      <c r="I289" t="str">
        <f>VLOOKUP(D289,'Dati di Supporto'!$B$2:$D$104,3,FALSE)</f>
        <v>PI</v>
      </c>
      <c r="J289" t="str">
        <f>VLOOKUP(H289,'Dati di Supporto'!$G$2:$H$21,2,FALSE)</f>
        <v>CENTRO</v>
      </c>
      <c r="K289">
        <f t="shared" si="4"/>
        <v>80</v>
      </c>
      <c r="L289" t="str">
        <f>_xlfn.IFS(Vendite!F289&lt;'Dati di Supporto'!$O$3,'Dati di Supporto'!$P$2,Vendite!F289&lt;'Dati di Supporto'!$O$4,'Dati di Supporto'!$P$3,Vendite!F289&lt;'Dati di Supporto'!$O$5,'Dati di Supporto'!$P$4,Vendite!F289&lt;'Dati di Supporto'!$O$6,'Dati di Supporto'!$P$5,Vendite!F289&gt;'Dati di Supporto'!$O$6,'Dati di Supporto'!$P$6)</f>
        <v>Fascia 2 (da 400 €  a meno di 800 €)</v>
      </c>
      <c r="M289" t="str">
        <f>_xlfn.IFS(G289='Dati di Supporto'!$O$10,'Dati di Supporto'!$P$10,Vendite!G289='Dati di Supporto'!$O$11,'Dati di Supporto'!$P$11,Vendite!G289='Dati di Supporto'!$O$12,'Dati di Supporto'!$P$12,Vendite!G289='Dati di Supporto'!$O$13,'Dati di Supporto'!$P$13,Vendite!G289='Dati di Supporto'!$O$14,'Dati di Supporto'!$P$14)</f>
        <v>Contanti</v>
      </c>
    </row>
    <row r="290" spans="1:13" x14ac:dyDescent="0.3">
      <c r="A290" s="11">
        <v>289</v>
      </c>
      <c r="B290" s="6">
        <v>41770</v>
      </c>
      <c r="C290" s="1" t="s">
        <v>2</v>
      </c>
      <c r="D290" s="2" t="s">
        <v>104</v>
      </c>
      <c r="E290" s="2" t="s">
        <v>251</v>
      </c>
      <c r="F290" s="3">
        <v>12</v>
      </c>
      <c r="G290" s="15">
        <v>4</v>
      </c>
      <c r="H290" t="str">
        <f>VLOOKUP(D290,'Dati di Supporto'!$B$2:$C$104,2,FALSE)</f>
        <v>Friuli-Venezia Giulia</v>
      </c>
      <c r="I290" t="str">
        <f>VLOOKUP(D290,'Dati di Supporto'!$B$2:$D$104,3,FALSE)</f>
        <v>PN</v>
      </c>
      <c r="J290" t="str">
        <f>VLOOKUP(H290,'Dati di Supporto'!$G$2:$H$21,2,FALSE)</f>
        <v>NORD</v>
      </c>
      <c r="K290">
        <f t="shared" si="4"/>
        <v>84</v>
      </c>
      <c r="L290" t="str">
        <f>_xlfn.IFS(Vendite!F290&lt;'Dati di Supporto'!$O$3,'Dati di Supporto'!$P$2,Vendite!F290&lt;'Dati di Supporto'!$O$4,'Dati di Supporto'!$P$3,Vendite!F290&lt;'Dati di Supporto'!$O$5,'Dati di Supporto'!$P$4,Vendite!F290&lt;'Dati di Supporto'!$O$6,'Dati di Supporto'!$P$5,Vendite!F290&gt;'Dati di Supporto'!$O$6,'Dati di Supporto'!$P$6)</f>
        <v>Fascia 1 (inferiore a 400 €)</v>
      </c>
      <c r="M290" t="str">
        <f>_xlfn.IFS(G290='Dati di Supporto'!$O$10,'Dati di Supporto'!$P$10,Vendite!G290='Dati di Supporto'!$O$11,'Dati di Supporto'!$P$11,Vendite!G290='Dati di Supporto'!$O$12,'Dati di Supporto'!$P$12,Vendite!G290='Dati di Supporto'!$O$13,'Dati di Supporto'!$P$13,Vendite!G290='Dati di Supporto'!$O$14,'Dati di Supporto'!$P$14)</f>
        <v>Bollettino postale</v>
      </c>
    </row>
    <row r="291" spans="1:13" x14ac:dyDescent="0.3">
      <c r="A291" s="11">
        <v>290</v>
      </c>
      <c r="B291" s="6">
        <v>41758</v>
      </c>
      <c r="C291" s="1" t="s">
        <v>8</v>
      </c>
      <c r="D291" s="2" t="s">
        <v>130</v>
      </c>
      <c r="E291" s="2" t="s">
        <v>252</v>
      </c>
      <c r="F291" s="3">
        <v>118</v>
      </c>
      <c r="G291" s="15">
        <v>5</v>
      </c>
      <c r="H291" t="str">
        <f>VLOOKUP(D291,'Dati di Supporto'!$B$2:$C$104,2,FALSE)</f>
        <v>Piemonte</v>
      </c>
      <c r="I291" t="str">
        <f>VLOOKUP(D291,'Dati di Supporto'!$B$2:$D$104,3,FALSE)</f>
        <v>VB</v>
      </c>
      <c r="J291" t="str">
        <f>VLOOKUP(H291,'Dati di Supporto'!$G$2:$H$21,2,FALSE)</f>
        <v>NORD</v>
      </c>
      <c r="K291">
        <f t="shared" si="4"/>
        <v>70</v>
      </c>
      <c r="L291" t="str">
        <f>_xlfn.IFS(Vendite!F291&lt;'Dati di Supporto'!$O$3,'Dati di Supporto'!$P$2,Vendite!F291&lt;'Dati di Supporto'!$O$4,'Dati di Supporto'!$P$3,Vendite!F291&lt;'Dati di Supporto'!$O$5,'Dati di Supporto'!$P$4,Vendite!F291&lt;'Dati di Supporto'!$O$6,'Dati di Supporto'!$P$5,Vendite!F291&gt;'Dati di Supporto'!$O$6,'Dati di Supporto'!$P$6)</f>
        <v>Fascia 1 (inferiore a 400 €)</v>
      </c>
      <c r="M291" t="str">
        <f>_xlfn.IFS(G291='Dati di Supporto'!$O$10,'Dati di Supporto'!$P$10,Vendite!G291='Dati di Supporto'!$O$11,'Dati di Supporto'!$P$11,Vendite!G291='Dati di Supporto'!$O$12,'Dati di Supporto'!$P$12,Vendite!G291='Dati di Supporto'!$O$13,'Dati di Supporto'!$P$13,Vendite!G291='Dati di Supporto'!$O$14,'Dati di Supporto'!$P$14)</f>
        <v>Assegno Bancario</v>
      </c>
    </row>
    <row r="292" spans="1:13" x14ac:dyDescent="0.3">
      <c r="A292" s="11">
        <v>291</v>
      </c>
      <c r="B292" s="6">
        <v>41701</v>
      </c>
      <c r="C292" s="1" t="s">
        <v>1</v>
      </c>
      <c r="D292" s="2" t="s">
        <v>99</v>
      </c>
      <c r="E292" s="2" t="s">
        <v>10</v>
      </c>
      <c r="F292" s="3">
        <v>2000</v>
      </c>
      <c r="G292" s="15">
        <v>4</v>
      </c>
      <c r="H292" t="str">
        <f>VLOOKUP(D292,'Dati di Supporto'!$B$2:$C$104,2,FALSE)</f>
        <v>Marche</v>
      </c>
      <c r="I292" t="str">
        <f>VLOOKUP(D292,'Dati di Supporto'!$B$2:$D$104,3,FALSE)</f>
        <v>PS</v>
      </c>
      <c r="J292" t="str">
        <f>VLOOKUP(H292,'Dati di Supporto'!$G$2:$H$21,2,FALSE)</f>
        <v>CENTRO</v>
      </c>
      <c r="K292">
        <f t="shared" si="4"/>
        <v>96</v>
      </c>
      <c r="L292" t="str">
        <f>_xlfn.IFS(Vendite!F292&lt;'Dati di Supporto'!$O$3,'Dati di Supporto'!$P$2,Vendite!F292&lt;'Dati di Supporto'!$O$4,'Dati di Supporto'!$P$3,Vendite!F292&lt;'Dati di Supporto'!$O$5,'Dati di Supporto'!$P$4,Vendite!F292&lt;'Dati di Supporto'!$O$6,'Dati di Supporto'!$P$5,Vendite!F292&gt;'Dati di Supporto'!$O$6,'Dati di Supporto'!$P$6)</f>
        <v>Fascia 5 (da 1500 € e oltre)</v>
      </c>
      <c r="M292" t="str">
        <f>_xlfn.IFS(G292='Dati di Supporto'!$O$10,'Dati di Supporto'!$P$10,Vendite!G292='Dati di Supporto'!$O$11,'Dati di Supporto'!$P$11,Vendite!G292='Dati di Supporto'!$O$12,'Dati di Supporto'!$P$12,Vendite!G292='Dati di Supporto'!$O$13,'Dati di Supporto'!$P$13,Vendite!G292='Dati di Supporto'!$O$14,'Dati di Supporto'!$P$14)</f>
        <v>Bollettino postale</v>
      </c>
    </row>
    <row r="293" spans="1:13" x14ac:dyDescent="0.3">
      <c r="A293" s="11">
        <v>292</v>
      </c>
      <c r="B293" s="6">
        <v>41674</v>
      </c>
      <c r="C293" s="1" t="s">
        <v>247</v>
      </c>
      <c r="D293" s="2" t="s">
        <v>120</v>
      </c>
      <c r="E293" s="2" t="s">
        <v>250</v>
      </c>
      <c r="F293" s="3">
        <v>1963</v>
      </c>
      <c r="G293" s="15">
        <v>4</v>
      </c>
      <c r="H293" t="str">
        <f>VLOOKUP(D293,'Dati di Supporto'!$B$2:$C$104,2,FALSE)</f>
        <v>Abruzzo</v>
      </c>
      <c r="I293" t="str">
        <f>VLOOKUP(D293,'Dati di Supporto'!$B$2:$D$104,3,FALSE)</f>
        <v>TE</v>
      </c>
      <c r="J293" t="str">
        <f>VLOOKUP(H293,'Dati di Supporto'!$G$2:$H$21,2,FALSE)</f>
        <v>CENTRO</v>
      </c>
      <c r="K293">
        <f t="shared" si="4"/>
        <v>83</v>
      </c>
      <c r="L293" t="str">
        <f>_xlfn.IFS(Vendite!F293&lt;'Dati di Supporto'!$O$3,'Dati di Supporto'!$P$2,Vendite!F293&lt;'Dati di Supporto'!$O$4,'Dati di Supporto'!$P$3,Vendite!F293&lt;'Dati di Supporto'!$O$5,'Dati di Supporto'!$P$4,Vendite!F293&lt;'Dati di Supporto'!$O$6,'Dati di Supporto'!$P$5,Vendite!F293&gt;'Dati di Supporto'!$O$6,'Dati di Supporto'!$P$6)</f>
        <v>Fascia 5 (da 1500 € e oltre)</v>
      </c>
      <c r="M293" t="str">
        <f>_xlfn.IFS(G293='Dati di Supporto'!$O$10,'Dati di Supporto'!$P$10,Vendite!G293='Dati di Supporto'!$O$11,'Dati di Supporto'!$P$11,Vendite!G293='Dati di Supporto'!$O$12,'Dati di Supporto'!$P$12,Vendite!G293='Dati di Supporto'!$O$13,'Dati di Supporto'!$P$13,Vendite!G293='Dati di Supporto'!$O$14,'Dati di Supporto'!$P$14)</f>
        <v>Bollettino postale</v>
      </c>
    </row>
    <row r="294" spans="1:13" x14ac:dyDescent="0.3">
      <c r="A294" s="11">
        <v>293</v>
      </c>
      <c r="B294" s="6">
        <v>41694</v>
      </c>
      <c r="C294" s="1" t="s">
        <v>3</v>
      </c>
      <c r="D294" s="2" t="s">
        <v>115</v>
      </c>
      <c r="E294" s="2" t="s">
        <v>10</v>
      </c>
      <c r="F294" s="3">
        <v>1583</v>
      </c>
      <c r="G294" s="15">
        <v>4</v>
      </c>
      <c r="H294" t="str">
        <f>VLOOKUP(D294,'Dati di Supporto'!$B$2:$C$104,2,FALSE)</f>
        <v>Liguria</v>
      </c>
      <c r="I294" t="str">
        <f>VLOOKUP(D294,'Dati di Supporto'!$B$2:$D$104,3,FALSE)</f>
        <v>SV</v>
      </c>
      <c r="J294" t="str">
        <f>VLOOKUP(H294,'Dati di Supporto'!$G$2:$H$21,2,FALSE)</f>
        <v>NORD</v>
      </c>
      <c r="K294">
        <f t="shared" si="4"/>
        <v>87</v>
      </c>
      <c r="L294" t="str">
        <f>_xlfn.IFS(Vendite!F294&lt;'Dati di Supporto'!$O$3,'Dati di Supporto'!$P$2,Vendite!F294&lt;'Dati di Supporto'!$O$4,'Dati di Supporto'!$P$3,Vendite!F294&lt;'Dati di Supporto'!$O$5,'Dati di Supporto'!$P$4,Vendite!F294&lt;'Dati di Supporto'!$O$6,'Dati di Supporto'!$P$5,Vendite!F294&gt;'Dati di Supporto'!$O$6,'Dati di Supporto'!$P$6)</f>
        <v>Fascia 5 (da 1500 € e oltre)</v>
      </c>
      <c r="M294" t="str">
        <f>_xlfn.IFS(G294='Dati di Supporto'!$O$10,'Dati di Supporto'!$P$10,Vendite!G294='Dati di Supporto'!$O$11,'Dati di Supporto'!$P$11,Vendite!G294='Dati di Supporto'!$O$12,'Dati di Supporto'!$P$12,Vendite!G294='Dati di Supporto'!$O$13,'Dati di Supporto'!$P$13,Vendite!G294='Dati di Supporto'!$O$14,'Dati di Supporto'!$P$14)</f>
        <v>Bollettino postale</v>
      </c>
    </row>
    <row r="295" spans="1:13" x14ac:dyDescent="0.3">
      <c r="A295" s="11">
        <v>294</v>
      </c>
      <c r="B295" s="6">
        <v>41705</v>
      </c>
      <c r="C295" s="1" t="s">
        <v>8</v>
      </c>
      <c r="D295" s="2" t="s">
        <v>130</v>
      </c>
      <c r="E295" s="2" t="s">
        <v>251</v>
      </c>
      <c r="F295" s="3">
        <v>1103</v>
      </c>
      <c r="G295" s="15">
        <v>1</v>
      </c>
      <c r="H295" t="str">
        <f>VLOOKUP(D295,'Dati di Supporto'!$B$2:$C$104,2,FALSE)</f>
        <v>Piemonte</v>
      </c>
      <c r="I295" t="str">
        <f>VLOOKUP(D295,'Dati di Supporto'!$B$2:$D$104,3,FALSE)</f>
        <v>VB</v>
      </c>
      <c r="J295" t="str">
        <f>VLOOKUP(H295,'Dati di Supporto'!$G$2:$H$21,2,FALSE)</f>
        <v>NORD</v>
      </c>
      <c r="K295">
        <f t="shared" si="4"/>
        <v>70</v>
      </c>
      <c r="L295" t="str">
        <f>_xlfn.IFS(Vendite!F295&lt;'Dati di Supporto'!$O$3,'Dati di Supporto'!$P$2,Vendite!F295&lt;'Dati di Supporto'!$O$4,'Dati di Supporto'!$P$3,Vendite!F295&lt;'Dati di Supporto'!$O$5,'Dati di Supporto'!$P$4,Vendite!F295&lt;'Dati di Supporto'!$O$6,'Dati di Supporto'!$P$5,Vendite!F295&gt;'Dati di Supporto'!$O$6,'Dati di Supporto'!$P$6)</f>
        <v>Fascia 3 (da 800 €  a meno di 1200 €)</v>
      </c>
      <c r="M295" t="str">
        <f>_xlfn.IFS(G295='Dati di Supporto'!$O$10,'Dati di Supporto'!$P$10,Vendite!G295='Dati di Supporto'!$O$11,'Dati di Supporto'!$P$11,Vendite!G295='Dati di Supporto'!$O$12,'Dati di Supporto'!$P$12,Vendite!G295='Dati di Supporto'!$O$13,'Dati di Supporto'!$P$13,Vendite!G295='Dati di Supporto'!$O$14,'Dati di Supporto'!$P$14)</f>
        <v>Contanti</v>
      </c>
    </row>
    <row r="296" spans="1:13" x14ac:dyDescent="0.3">
      <c r="A296" s="11">
        <v>295</v>
      </c>
      <c r="B296" s="6">
        <v>41814</v>
      </c>
      <c r="C296" s="1" t="s">
        <v>247</v>
      </c>
      <c r="D296" s="2" t="s">
        <v>118</v>
      </c>
      <c r="E296" s="2" t="s">
        <v>252</v>
      </c>
      <c r="F296" s="3">
        <v>837</v>
      </c>
      <c r="G296" s="15">
        <v>3</v>
      </c>
      <c r="H296" t="str">
        <f>VLOOKUP(D296,'Dati di Supporto'!$B$2:$C$104,2,FALSE)</f>
        <v>Lombardia</v>
      </c>
      <c r="I296" t="str">
        <f>VLOOKUP(D296,'Dati di Supporto'!$B$2:$D$104,3,FALSE)</f>
        <v>SO</v>
      </c>
      <c r="J296" t="str">
        <f>VLOOKUP(H296,'Dati di Supporto'!$G$2:$H$21,2,FALSE)</f>
        <v>NORD</v>
      </c>
      <c r="K296">
        <f t="shared" si="4"/>
        <v>83</v>
      </c>
      <c r="L296" t="str">
        <f>_xlfn.IFS(Vendite!F296&lt;'Dati di Supporto'!$O$3,'Dati di Supporto'!$P$2,Vendite!F296&lt;'Dati di Supporto'!$O$4,'Dati di Supporto'!$P$3,Vendite!F296&lt;'Dati di Supporto'!$O$5,'Dati di Supporto'!$P$4,Vendite!F296&lt;'Dati di Supporto'!$O$6,'Dati di Supporto'!$P$5,Vendite!F296&gt;'Dati di Supporto'!$O$6,'Dati di Supporto'!$P$6)</f>
        <v>Fascia 3 (da 800 €  a meno di 1200 €)</v>
      </c>
      <c r="M296" t="str">
        <f>_xlfn.IFS(G296='Dati di Supporto'!$O$10,'Dati di Supporto'!$P$10,Vendite!G296='Dati di Supporto'!$O$11,'Dati di Supporto'!$P$11,Vendite!G296='Dati di Supporto'!$O$12,'Dati di Supporto'!$P$12,Vendite!G296='Dati di Supporto'!$O$13,'Dati di Supporto'!$P$13,Vendite!G296='Dati di Supporto'!$O$14,'Dati di Supporto'!$P$14)</f>
        <v>Carta di credito</v>
      </c>
    </row>
    <row r="297" spans="1:13" x14ac:dyDescent="0.3">
      <c r="A297" s="11">
        <v>296</v>
      </c>
      <c r="B297" s="6">
        <v>41772</v>
      </c>
      <c r="C297" s="1" t="s">
        <v>8</v>
      </c>
      <c r="D297" s="2" t="s">
        <v>211</v>
      </c>
      <c r="E297" s="2" t="s">
        <v>252</v>
      </c>
      <c r="F297" s="3">
        <v>6</v>
      </c>
      <c r="G297" s="15">
        <v>2</v>
      </c>
      <c r="H297" t="str">
        <f>VLOOKUP(D297,'Dati di Supporto'!$B$2:$C$104,2,FALSE)</f>
        <v>Calabria</v>
      </c>
      <c r="I297" t="str">
        <f>VLOOKUP(D297,'Dati di Supporto'!$B$2:$D$104,3,FALSE)</f>
        <v>RC</v>
      </c>
      <c r="J297" t="str">
        <f>VLOOKUP(H297,'Dati di Supporto'!$G$2:$H$21,2,FALSE)</f>
        <v>SUD</v>
      </c>
      <c r="K297">
        <f t="shared" si="4"/>
        <v>70</v>
      </c>
      <c r="L297" t="str">
        <f>_xlfn.IFS(Vendite!F297&lt;'Dati di Supporto'!$O$3,'Dati di Supporto'!$P$2,Vendite!F297&lt;'Dati di Supporto'!$O$4,'Dati di Supporto'!$P$3,Vendite!F297&lt;'Dati di Supporto'!$O$5,'Dati di Supporto'!$P$4,Vendite!F297&lt;'Dati di Supporto'!$O$6,'Dati di Supporto'!$P$5,Vendite!F297&gt;'Dati di Supporto'!$O$6,'Dati di Supporto'!$P$6)</f>
        <v>Fascia 1 (inferiore a 400 €)</v>
      </c>
      <c r="M297" t="str">
        <f>_xlfn.IFS(G297='Dati di Supporto'!$O$10,'Dati di Supporto'!$P$10,Vendite!G297='Dati di Supporto'!$O$11,'Dati di Supporto'!$P$11,Vendite!G297='Dati di Supporto'!$O$12,'Dati di Supporto'!$P$12,Vendite!G297='Dati di Supporto'!$O$13,'Dati di Supporto'!$P$13,Vendite!G297='Dati di Supporto'!$O$14,'Dati di Supporto'!$P$14)</f>
        <v>Bonifico Bancario</v>
      </c>
    </row>
    <row r="298" spans="1:13" x14ac:dyDescent="0.3">
      <c r="A298" s="11">
        <v>297</v>
      </c>
      <c r="B298" s="6">
        <v>41703</v>
      </c>
      <c r="C298" s="1" t="s">
        <v>248</v>
      </c>
      <c r="D298" s="2" t="s">
        <v>105</v>
      </c>
      <c r="E298" s="2" t="s">
        <v>250</v>
      </c>
      <c r="F298" s="3">
        <v>94</v>
      </c>
      <c r="G298" s="15">
        <v>5</v>
      </c>
      <c r="H298" t="str">
        <f>VLOOKUP(D298,'Dati di Supporto'!$B$2:$C$104,2,FALSE)</f>
        <v>Basilicata</v>
      </c>
      <c r="I298" t="str">
        <f>VLOOKUP(D298,'Dati di Supporto'!$B$2:$D$104,3,FALSE)</f>
        <v>PZ</v>
      </c>
      <c r="J298" t="str">
        <f>VLOOKUP(H298,'Dati di Supporto'!$G$2:$H$21,2,FALSE)</f>
        <v>SUD</v>
      </c>
      <c r="K298">
        <f t="shared" si="4"/>
        <v>80</v>
      </c>
      <c r="L298" t="str">
        <f>_xlfn.IFS(Vendite!F298&lt;'Dati di Supporto'!$O$3,'Dati di Supporto'!$P$2,Vendite!F298&lt;'Dati di Supporto'!$O$4,'Dati di Supporto'!$P$3,Vendite!F298&lt;'Dati di Supporto'!$O$5,'Dati di Supporto'!$P$4,Vendite!F298&lt;'Dati di Supporto'!$O$6,'Dati di Supporto'!$P$5,Vendite!F298&gt;'Dati di Supporto'!$O$6,'Dati di Supporto'!$P$6)</f>
        <v>Fascia 1 (inferiore a 400 €)</v>
      </c>
      <c r="M298" t="str">
        <f>_xlfn.IFS(G298='Dati di Supporto'!$O$10,'Dati di Supporto'!$P$10,Vendite!G298='Dati di Supporto'!$O$11,'Dati di Supporto'!$P$11,Vendite!G298='Dati di Supporto'!$O$12,'Dati di Supporto'!$P$12,Vendite!G298='Dati di Supporto'!$O$13,'Dati di Supporto'!$P$13,Vendite!G298='Dati di Supporto'!$O$14,'Dati di Supporto'!$P$14)</f>
        <v>Assegno Bancario</v>
      </c>
    </row>
    <row r="299" spans="1:13" x14ac:dyDescent="0.3">
      <c r="A299" s="11">
        <v>298</v>
      </c>
      <c r="B299" s="6">
        <v>41654</v>
      </c>
      <c r="C299" s="1" t="s">
        <v>2</v>
      </c>
      <c r="D299" s="2" t="s">
        <v>117</v>
      </c>
      <c r="E299" s="2" t="s">
        <v>11</v>
      </c>
      <c r="F299" s="3">
        <v>1206</v>
      </c>
      <c r="G299" s="15">
        <v>1</v>
      </c>
      <c r="H299" t="str">
        <f>VLOOKUP(D299,'Dati di Supporto'!$B$2:$C$104,2,FALSE)</f>
        <v>Sicilia</v>
      </c>
      <c r="I299" t="str">
        <f>VLOOKUP(D299,'Dati di Supporto'!$B$2:$D$104,3,FALSE)</f>
        <v>SR</v>
      </c>
      <c r="J299" t="str">
        <f>VLOOKUP(H299,'Dati di Supporto'!$G$2:$H$21,2,FALSE)</f>
        <v>ISOLE</v>
      </c>
      <c r="K299">
        <f t="shared" si="4"/>
        <v>84</v>
      </c>
      <c r="L299" t="str">
        <f>_xlfn.IFS(Vendite!F299&lt;'Dati di Supporto'!$O$3,'Dati di Supporto'!$P$2,Vendite!F299&lt;'Dati di Supporto'!$O$4,'Dati di Supporto'!$P$3,Vendite!F299&lt;'Dati di Supporto'!$O$5,'Dati di Supporto'!$P$4,Vendite!F299&lt;'Dati di Supporto'!$O$6,'Dati di Supporto'!$P$5,Vendite!F299&gt;'Dati di Supporto'!$O$6,'Dati di Supporto'!$P$6)</f>
        <v>Fascia 4 (da 1200 €  a meno di 1500 €)</v>
      </c>
      <c r="M299" t="str">
        <f>_xlfn.IFS(G299='Dati di Supporto'!$O$10,'Dati di Supporto'!$P$10,Vendite!G299='Dati di Supporto'!$O$11,'Dati di Supporto'!$P$11,Vendite!G299='Dati di Supporto'!$O$12,'Dati di Supporto'!$P$12,Vendite!G299='Dati di Supporto'!$O$13,'Dati di Supporto'!$P$13,Vendite!G299='Dati di Supporto'!$O$14,'Dati di Supporto'!$P$14)</f>
        <v>Contanti</v>
      </c>
    </row>
    <row r="300" spans="1:13" x14ac:dyDescent="0.3">
      <c r="A300" s="11">
        <v>299</v>
      </c>
      <c r="B300" s="6">
        <v>41677</v>
      </c>
      <c r="C300" s="1" t="s">
        <v>248</v>
      </c>
      <c r="D300" s="2" t="s">
        <v>211</v>
      </c>
      <c r="E300" s="2" t="s">
        <v>250</v>
      </c>
      <c r="F300" s="3">
        <v>1266</v>
      </c>
      <c r="G300" s="15">
        <v>4</v>
      </c>
      <c r="H300" t="str">
        <f>VLOOKUP(D300,'Dati di Supporto'!$B$2:$C$104,2,FALSE)</f>
        <v>Calabria</v>
      </c>
      <c r="I300" t="str">
        <f>VLOOKUP(D300,'Dati di Supporto'!$B$2:$D$104,3,FALSE)</f>
        <v>RC</v>
      </c>
      <c r="J300" t="str">
        <f>VLOOKUP(H300,'Dati di Supporto'!$G$2:$H$21,2,FALSE)</f>
        <v>SUD</v>
      </c>
      <c r="K300">
        <f t="shared" si="4"/>
        <v>80</v>
      </c>
      <c r="L300" t="str">
        <f>_xlfn.IFS(Vendite!F300&lt;'Dati di Supporto'!$O$3,'Dati di Supporto'!$P$2,Vendite!F300&lt;'Dati di Supporto'!$O$4,'Dati di Supporto'!$P$3,Vendite!F300&lt;'Dati di Supporto'!$O$5,'Dati di Supporto'!$P$4,Vendite!F300&lt;'Dati di Supporto'!$O$6,'Dati di Supporto'!$P$5,Vendite!F300&gt;'Dati di Supporto'!$O$6,'Dati di Supporto'!$P$6)</f>
        <v>Fascia 4 (da 1200 €  a meno di 1500 €)</v>
      </c>
      <c r="M300" t="str">
        <f>_xlfn.IFS(G300='Dati di Supporto'!$O$10,'Dati di Supporto'!$P$10,Vendite!G300='Dati di Supporto'!$O$11,'Dati di Supporto'!$P$11,Vendite!G300='Dati di Supporto'!$O$12,'Dati di Supporto'!$P$12,Vendite!G300='Dati di Supporto'!$O$13,'Dati di Supporto'!$P$13,Vendite!G300='Dati di Supporto'!$O$14,'Dati di Supporto'!$P$14)</f>
        <v>Bollettino postale</v>
      </c>
    </row>
    <row r="301" spans="1:13" x14ac:dyDescent="0.3">
      <c r="A301" s="11">
        <v>300</v>
      </c>
      <c r="B301" s="6">
        <v>41708</v>
      </c>
      <c r="C301" s="1" t="s">
        <v>3</v>
      </c>
      <c r="D301" s="2" t="s">
        <v>125</v>
      </c>
      <c r="E301" s="2" t="s">
        <v>251</v>
      </c>
      <c r="F301" s="3">
        <v>707</v>
      </c>
      <c r="G301" s="15">
        <v>5</v>
      </c>
      <c r="H301" t="str">
        <f>VLOOKUP(D301,'Dati di Supporto'!$B$2:$C$104,2,FALSE)</f>
        <v>Veneto</v>
      </c>
      <c r="I301" t="str">
        <f>VLOOKUP(D301,'Dati di Supporto'!$B$2:$D$104,3,FALSE)</f>
        <v>TV</v>
      </c>
      <c r="J301" t="str">
        <f>VLOOKUP(H301,'Dati di Supporto'!$G$2:$H$21,2,FALSE)</f>
        <v>NORD</v>
      </c>
      <c r="K301">
        <f t="shared" si="4"/>
        <v>87</v>
      </c>
      <c r="L301" t="str">
        <f>_xlfn.IFS(Vendite!F301&lt;'Dati di Supporto'!$O$3,'Dati di Supporto'!$P$2,Vendite!F301&lt;'Dati di Supporto'!$O$4,'Dati di Supporto'!$P$3,Vendite!F301&lt;'Dati di Supporto'!$O$5,'Dati di Supporto'!$P$4,Vendite!F301&lt;'Dati di Supporto'!$O$6,'Dati di Supporto'!$P$5,Vendite!F301&gt;'Dati di Supporto'!$O$6,'Dati di Supporto'!$P$6)</f>
        <v>Fascia 2 (da 400 €  a meno di 800 €)</v>
      </c>
      <c r="M301" t="str">
        <f>_xlfn.IFS(G301='Dati di Supporto'!$O$10,'Dati di Supporto'!$P$10,Vendite!G301='Dati di Supporto'!$O$11,'Dati di Supporto'!$P$11,Vendite!G301='Dati di Supporto'!$O$12,'Dati di Supporto'!$P$12,Vendite!G301='Dati di Supporto'!$O$13,'Dati di Supporto'!$P$13,Vendite!G301='Dati di Supporto'!$O$14,'Dati di Supporto'!$P$14)</f>
        <v>Assegno Bancario</v>
      </c>
    </row>
    <row r="302" spans="1:13" x14ac:dyDescent="0.3">
      <c r="A302" s="11">
        <v>301</v>
      </c>
      <c r="B302" s="6">
        <v>41815</v>
      </c>
      <c r="C302" s="1" t="s">
        <v>8</v>
      </c>
      <c r="D302" s="2" t="s">
        <v>118</v>
      </c>
      <c r="E302" s="2" t="s">
        <v>252</v>
      </c>
      <c r="F302" s="3">
        <v>42</v>
      </c>
      <c r="G302" s="15">
        <v>2</v>
      </c>
      <c r="H302" t="str">
        <f>VLOOKUP(D302,'Dati di Supporto'!$B$2:$C$104,2,FALSE)</f>
        <v>Lombardia</v>
      </c>
      <c r="I302" t="str">
        <f>VLOOKUP(D302,'Dati di Supporto'!$B$2:$D$104,3,FALSE)</f>
        <v>SO</v>
      </c>
      <c r="J302" t="str">
        <f>VLOOKUP(H302,'Dati di Supporto'!$G$2:$H$21,2,FALSE)</f>
        <v>NORD</v>
      </c>
      <c r="K302">
        <f t="shared" si="4"/>
        <v>70</v>
      </c>
      <c r="L302" t="str">
        <f>_xlfn.IFS(Vendite!F302&lt;'Dati di Supporto'!$O$3,'Dati di Supporto'!$P$2,Vendite!F302&lt;'Dati di Supporto'!$O$4,'Dati di Supporto'!$P$3,Vendite!F302&lt;'Dati di Supporto'!$O$5,'Dati di Supporto'!$P$4,Vendite!F302&lt;'Dati di Supporto'!$O$6,'Dati di Supporto'!$P$5,Vendite!F302&gt;'Dati di Supporto'!$O$6,'Dati di Supporto'!$P$6)</f>
        <v>Fascia 1 (inferiore a 400 €)</v>
      </c>
      <c r="M302" t="str">
        <f>_xlfn.IFS(G302='Dati di Supporto'!$O$10,'Dati di Supporto'!$P$10,Vendite!G302='Dati di Supporto'!$O$11,'Dati di Supporto'!$P$11,Vendite!G302='Dati di Supporto'!$O$12,'Dati di Supporto'!$P$12,Vendite!G302='Dati di Supporto'!$O$13,'Dati di Supporto'!$P$13,Vendite!G302='Dati di Supporto'!$O$14,'Dati di Supporto'!$P$14)</f>
        <v>Bonifico Bancario</v>
      </c>
    </row>
    <row r="303" spans="1:13" x14ac:dyDescent="0.3">
      <c r="A303" s="11">
        <v>302</v>
      </c>
      <c r="B303" s="6">
        <v>41675</v>
      </c>
      <c r="C303" s="1" t="s">
        <v>3</v>
      </c>
      <c r="D303" s="2" t="s">
        <v>130</v>
      </c>
      <c r="E303" s="2" t="s">
        <v>252</v>
      </c>
      <c r="F303" s="3">
        <v>1560</v>
      </c>
      <c r="G303" s="15">
        <v>5</v>
      </c>
      <c r="H303" t="str">
        <f>VLOOKUP(D303,'Dati di Supporto'!$B$2:$C$104,2,FALSE)</f>
        <v>Piemonte</v>
      </c>
      <c r="I303" t="str">
        <f>VLOOKUP(D303,'Dati di Supporto'!$B$2:$D$104,3,FALSE)</f>
        <v>VB</v>
      </c>
      <c r="J303" t="str">
        <f>VLOOKUP(H303,'Dati di Supporto'!$G$2:$H$21,2,FALSE)</f>
        <v>NORD</v>
      </c>
      <c r="K303">
        <f t="shared" si="4"/>
        <v>87</v>
      </c>
      <c r="L303" t="str">
        <f>_xlfn.IFS(Vendite!F303&lt;'Dati di Supporto'!$O$3,'Dati di Supporto'!$P$2,Vendite!F303&lt;'Dati di Supporto'!$O$4,'Dati di Supporto'!$P$3,Vendite!F303&lt;'Dati di Supporto'!$O$5,'Dati di Supporto'!$P$4,Vendite!F303&lt;'Dati di Supporto'!$O$6,'Dati di Supporto'!$P$5,Vendite!F303&gt;'Dati di Supporto'!$O$6,'Dati di Supporto'!$P$6)</f>
        <v>Fascia 5 (da 1500 € e oltre)</v>
      </c>
      <c r="M303" t="str">
        <f>_xlfn.IFS(G303='Dati di Supporto'!$O$10,'Dati di Supporto'!$P$10,Vendite!G303='Dati di Supporto'!$O$11,'Dati di Supporto'!$P$11,Vendite!G303='Dati di Supporto'!$O$12,'Dati di Supporto'!$P$12,Vendite!G303='Dati di Supporto'!$O$13,'Dati di Supporto'!$P$13,Vendite!G303='Dati di Supporto'!$O$14,'Dati di Supporto'!$P$14)</f>
        <v>Assegno Bancario</v>
      </c>
    </row>
    <row r="304" spans="1:13" x14ac:dyDescent="0.3">
      <c r="A304" s="11">
        <v>303</v>
      </c>
      <c r="B304" s="6">
        <v>41764</v>
      </c>
      <c r="C304" s="1" t="s">
        <v>2</v>
      </c>
      <c r="D304" s="2" t="s">
        <v>111</v>
      </c>
      <c r="E304" s="2" t="s">
        <v>251</v>
      </c>
      <c r="F304" s="3">
        <v>1996</v>
      </c>
      <c r="G304" s="15">
        <v>2</v>
      </c>
      <c r="H304" t="str">
        <f>VLOOKUP(D304,'Dati di Supporto'!$B$2:$C$104,2,FALSE)</f>
        <v>Lazio</v>
      </c>
      <c r="I304" t="str">
        <f>VLOOKUP(D304,'Dati di Supporto'!$B$2:$D$104,3,FALSE)</f>
        <v>RM</v>
      </c>
      <c r="J304" t="str">
        <f>VLOOKUP(H304,'Dati di Supporto'!$G$2:$H$21,2,FALSE)</f>
        <v>CENTRO</v>
      </c>
      <c r="K304">
        <f t="shared" si="4"/>
        <v>84</v>
      </c>
      <c r="L304" t="str">
        <f>_xlfn.IFS(Vendite!F304&lt;'Dati di Supporto'!$O$3,'Dati di Supporto'!$P$2,Vendite!F304&lt;'Dati di Supporto'!$O$4,'Dati di Supporto'!$P$3,Vendite!F304&lt;'Dati di Supporto'!$O$5,'Dati di Supporto'!$P$4,Vendite!F304&lt;'Dati di Supporto'!$O$6,'Dati di Supporto'!$P$5,Vendite!F304&gt;'Dati di Supporto'!$O$6,'Dati di Supporto'!$P$6)</f>
        <v>Fascia 5 (da 1500 € e oltre)</v>
      </c>
      <c r="M304" t="str">
        <f>_xlfn.IFS(G304='Dati di Supporto'!$O$10,'Dati di Supporto'!$P$10,Vendite!G304='Dati di Supporto'!$O$11,'Dati di Supporto'!$P$11,Vendite!G304='Dati di Supporto'!$O$12,'Dati di Supporto'!$P$12,Vendite!G304='Dati di Supporto'!$O$13,'Dati di Supporto'!$P$13,Vendite!G304='Dati di Supporto'!$O$14,'Dati di Supporto'!$P$14)</f>
        <v>Bonifico Bancario</v>
      </c>
    </row>
    <row r="305" spans="1:13" x14ac:dyDescent="0.3">
      <c r="A305" s="11">
        <v>304</v>
      </c>
      <c r="B305" s="6">
        <v>41690</v>
      </c>
      <c r="C305" s="1" t="s">
        <v>1</v>
      </c>
      <c r="D305" s="2" t="s">
        <v>102</v>
      </c>
      <c r="E305" s="2" t="s">
        <v>10</v>
      </c>
      <c r="F305" s="3">
        <v>884</v>
      </c>
      <c r="G305" s="15">
        <v>4</v>
      </c>
      <c r="H305" t="str">
        <f>VLOOKUP(D305,'Dati di Supporto'!$B$2:$C$104,2,FALSE)</f>
        <v>Toscana</v>
      </c>
      <c r="I305" t="str">
        <f>VLOOKUP(D305,'Dati di Supporto'!$B$2:$D$104,3,FALSE)</f>
        <v>PI</v>
      </c>
      <c r="J305" t="str">
        <f>VLOOKUP(H305,'Dati di Supporto'!$G$2:$H$21,2,FALSE)</f>
        <v>CENTRO</v>
      </c>
      <c r="K305">
        <f t="shared" si="4"/>
        <v>96</v>
      </c>
      <c r="L305" t="str">
        <f>_xlfn.IFS(Vendite!F305&lt;'Dati di Supporto'!$O$3,'Dati di Supporto'!$P$2,Vendite!F305&lt;'Dati di Supporto'!$O$4,'Dati di Supporto'!$P$3,Vendite!F305&lt;'Dati di Supporto'!$O$5,'Dati di Supporto'!$P$4,Vendite!F305&lt;'Dati di Supporto'!$O$6,'Dati di Supporto'!$P$5,Vendite!F305&gt;'Dati di Supporto'!$O$6,'Dati di Supporto'!$P$6)</f>
        <v>Fascia 3 (da 800 €  a meno di 1200 €)</v>
      </c>
      <c r="M305" t="str">
        <f>_xlfn.IFS(G305='Dati di Supporto'!$O$10,'Dati di Supporto'!$P$10,Vendite!G305='Dati di Supporto'!$O$11,'Dati di Supporto'!$P$11,Vendite!G305='Dati di Supporto'!$O$12,'Dati di Supporto'!$P$12,Vendite!G305='Dati di Supporto'!$O$13,'Dati di Supporto'!$P$13,Vendite!G305='Dati di Supporto'!$O$14,'Dati di Supporto'!$P$14)</f>
        <v>Bollettino postale</v>
      </c>
    </row>
    <row r="306" spans="1:13" x14ac:dyDescent="0.3">
      <c r="A306" s="11">
        <v>305</v>
      </c>
      <c r="B306" s="6">
        <v>41784</v>
      </c>
      <c r="C306" s="1" t="s">
        <v>1</v>
      </c>
      <c r="D306" s="2" t="s">
        <v>114</v>
      </c>
      <c r="E306" s="2" t="s">
        <v>252</v>
      </c>
      <c r="F306" s="3">
        <v>534</v>
      </c>
      <c r="G306" s="15">
        <v>4</v>
      </c>
      <c r="H306" t="str">
        <f>VLOOKUP(D306,'Dati di Supporto'!$B$2:$C$104,2,FALSE)</f>
        <v>Sardegna</v>
      </c>
      <c r="I306" t="str">
        <f>VLOOKUP(D306,'Dati di Supporto'!$B$2:$D$104,3,FALSE)</f>
        <v>SS</v>
      </c>
      <c r="J306" t="str">
        <f>VLOOKUP(H306,'Dati di Supporto'!$G$2:$H$21,2,FALSE)</f>
        <v>ISOLE</v>
      </c>
      <c r="K306">
        <f t="shared" si="4"/>
        <v>96</v>
      </c>
      <c r="L306" t="str">
        <f>_xlfn.IFS(Vendite!F306&lt;'Dati di Supporto'!$O$3,'Dati di Supporto'!$P$2,Vendite!F306&lt;'Dati di Supporto'!$O$4,'Dati di Supporto'!$P$3,Vendite!F306&lt;'Dati di Supporto'!$O$5,'Dati di Supporto'!$P$4,Vendite!F306&lt;'Dati di Supporto'!$O$6,'Dati di Supporto'!$P$5,Vendite!F306&gt;'Dati di Supporto'!$O$6,'Dati di Supporto'!$P$6)</f>
        <v>Fascia 2 (da 400 €  a meno di 800 €)</v>
      </c>
      <c r="M306" t="str">
        <f>_xlfn.IFS(G306='Dati di Supporto'!$O$10,'Dati di Supporto'!$P$10,Vendite!G306='Dati di Supporto'!$O$11,'Dati di Supporto'!$P$11,Vendite!G306='Dati di Supporto'!$O$12,'Dati di Supporto'!$P$12,Vendite!G306='Dati di Supporto'!$O$13,'Dati di Supporto'!$P$13,Vendite!G306='Dati di Supporto'!$O$14,'Dati di Supporto'!$P$14)</f>
        <v>Bollettino postale</v>
      </c>
    </row>
    <row r="307" spans="1:13" x14ac:dyDescent="0.3">
      <c r="A307" s="11">
        <v>306</v>
      </c>
      <c r="B307" s="6">
        <v>41740</v>
      </c>
      <c r="C307" s="1" t="s">
        <v>3</v>
      </c>
      <c r="D307" s="2" t="s">
        <v>107</v>
      </c>
      <c r="E307" s="2" t="s">
        <v>250</v>
      </c>
      <c r="F307" s="3">
        <v>1370</v>
      </c>
      <c r="G307" s="15">
        <v>2</v>
      </c>
      <c r="H307" t="str">
        <f>VLOOKUP(D307,'Dati di Supporto'!$B$2:$C$104,2,FALSE)</f>
        <v>Sicilia</v>
      </c>
      <c r="I307" t="str">
        <f>VLOOKUP(D307,'Dati di Supporto'!$B$2:$D$104,3,FALSE)</f>
        <v>RG</v>
      </c>
      <c r="J307" t="str">
        <f>VLOOKUP(H307,'Dati di Supporto'!$G$2:$H$21,2,FALSE)</f>
        <v>ISOLE</v>
      </c>
      <c r="K307">
        <f t="shared" si="4"/>
        <v>87</v>
      </c>
      <c r="L307" t="str">
        <f>_xlfn.IFS(Vendite!F307&lt;'Dati di Supporto'!$O$3,'Dati di Supporto'!$P$2,Vendite!F307&lt;'Dati di Supporto'!$O$4,'Dati di Supporto'!$P$3,Vendite!F307&lt;'Dati di Supporto'!$O$5,'Dati di Supporto'!$P$4,Vendite!F307&lt;'Dati di Supporto'!$O$6,'Dati di Supporto'!$P$5,Vendite!F307&gt;'Dati di Supporto'!$O$6,'Dati di Supporto'!$P$6)</f>
        <v>Fascia 4 (da 1200 €  a meno di 1500 €)</v>
      </c>
      <c r="M307" t="str">
        <f>_xlfn.IFS(G307='Dati di Supporto'!$O$10,'Dati di Supporto'!$P$10,Vendite!G307='Dati di Supporto'!$O$11,'Dati di Supporto'!$P$11,Vendite!G307='Dati di Supporto'!$O$12,'Dati di Supporto'!$P$12,Vendite!G307='Dati di Supporto'!$O$13,'Dati di Supporto'!$P$13,Vendite!G307='Dati di Supporto'!$O$14,'Dati di Supporto'!$P$14)</f>
        <v>Bonifico Bancario</v>
      </c>
    </row>
    <row r="308" spans="1:13" x14ac:dyDescent="0.3">
      <c r="A308" s="11">
        <v>307</v>
      </c>
      <c r="B308" s="6">
        <v>41671</v>
      </c>
      <c r="C308" s="1" t="s">
        <v>3</v>
      </c>
      <c r="D308" s="2" t="s">
        <v>110</v>
      </c>
      <c r="E308" s="2" t="s">
        <v>252</v>
      </c>
      <c r="F308" s="3">
        <v>331</v>
      </c>
      <c r="G308" s="15">
        <v>4</v>
      </c>
      <c r="H308" t="str">
        <f>VLOOKUP(D308,'Dati di Supporto'!$B$2:$C$104,2,FALSE)</f>
        <v>Emilia-Romagna</v>
      </c>
      <c r="I308" t="str">
        <f>VLOOKUP(D308,'Dati di Supporto'!$B$2:$D$104,3,FALSE)</f>
        <v>RN</v>
      </c>
      <c r="J308" t="str">
        <f>VLOOKUP(H308,'Dati di Supporto'!$G$2:$H$21,2,FALSE)</f>
        <v>NORD</v>
      </c>
      <c r="K308">
        <f t="shared" si="4"/>
        <v>87</v>
      </c>
      <c r="L308" t="str">
        <f>_xlfn.IFS(Vendite!F308&lt;'Dati di Supporto'!$O$3,'Dati di Supporto'!$P$2,Vendite!F308&lt;'Dati di Supporto'!$O$4,'Dati di Supporto'!$P$3,Vendite!F308&lt;'Dati di Supporto'!$O$5,'Dati di Supporto'!$P$4,Vendite!F308&lt;'Dati di Supporto'!$O$6,'Dati di Supporto'!$P$5,Vendite!F308&gt;'Dati di Supporto'!$O$6,'Dati di Supporto'!$P$6)</f>
        <v>Fascia 1 (inferiore a 400 €)</v>
      </c>
      <c r="M308" t="str">
        <f>_xlfn.IFS(G308='Dati di Supporto'!$O$10,'Dati di Supporto'!$P$10,Vendite!G308='Dati di Supporto'!$O$11,'Dati di Supporto'!$P$11,Vendite!G308='Dati di Supporto'!$O$12,'Dati di Supporto'!$P$12,Vendite!G308='Dati di Supporto'!$O$13,'Dati di Supporto'!$P$13,Vendite!G308='Dati di Supporto'!$O$14,'Dati di Supporto'!$P$14)</f>
        <v>Bollettino postale</v>
      </c>
    </row>
    <row r="309" spans="1:13" x14ac:dyDescent="0.3">
      <c r="A309" s="11">
        <v>308</v>
      </c>
      <c r="B309" s="6">
        <v>41722</v>
      </c>
      <c r="C309" s="1" t="s">
        <v>3</v>
      </c>
      <c r="D309" s="2" t="s">
        <v>130</v>
      </c>
      <c r="E309" s="2" t="s">
        <v>251</v>
      </c>
      <c r="F309" s="3">
        <v>878</v>
      </c>
      <c r="G309" s="15">
        <v>1</v>
      </c>
      <c r="H309" t="str">
        <f>VLOOKUP(D309,'Dati di Supporto'!$B$2:$C$104,2,FALSE)</f>
        <v>Piemonte</v>
      </c>
      <c r="I309" t="str">
        <f>VLOOKUP(D309,'Dati di Supporto'!$B$2:$D$104,3,FALSE)</f>
        <v>VB</v>
      </c>
      <c r="J309" t="str">
        <f>VLOOKUP(H309,'Dati di Supporto'!$G$2:$H$21,2,FALSE)</f>
        <v>NORD</v>
      </c>
      <c r="K309">
        <f t="shared" si="4"/>
        <v>87</v>
      </c>
      <c r="L309" t="str">
        <f>_xlfn.IFS(Vendite!F309&lt;'Dati di Supporto'!$O$3,'Dati di Supporto'!$P$2,Vendite!F309&lt;'Dati di Supporto'!$O$4,'Dati di Supporto'!$P$3,Vendite!F309&lt;'Dati di Supporto'!$O$5,'Dati di Supporto'!$P$4,Vendite!F309&lt;'Dati di Supporto'!$O$6,'Dati di Supporto'!$P$5,Vendite!F309&gt;'Dati di Supporto'!$O$6,'Dati di Supporto'!$P$6)</f>
        <v>Fascia 3 (da 800 €  a meno di 1200 €)</v>
      </c>
      <c r="M309" t="str">
        <f>_xlfn.IFS(G309='Dati di Supporto'!$O$10,'Dati di Supporto'!$P$10,Vendite!G309='Dati di Supporto'!$O$11,'Dati di Supporto'!$P$11,Vendite!G309='Dati di Supporto'!$O$12,'Dati di Supporto'!$P$12,Vendite!G309='Dati di Supporto'!$O$13,'Dati di Supporto'!$P$13,Vendite!G309='Dati di Supporto'!$O$14,'Dati di Supporto'!$P$14)</f>
        <v>Contanti</v>
      </c>
    </row>
    <row r="310" spans="1:13" x14ac:dyDescent="0.3">
      <c r="A310" s="11">
        <v>309</v>
      </c>
      <c r="B310" s="6">
        <v>41666</v>
      </c>
      <c r="C310" s="1" t="s">
        <v>1</v>
      </c>
      <c r="D310" s="2" t="s">
        <v>130</v>
      </c>
      <c r="E310" s="2" t="s">
        <v>252</v>
      </c>
      <c r="F310" s="3">
        <v>1320</v>
      </c>
      <c r="G310" s="15">
        <v>2</v>
      </c>
      <c r="H310" t="str">
        <f>VLOOKUP(D310,'Dati di Supporto'!$B$2:$C$104,2,FALSE)</f>
        <v>Piemonte</v>
      </c>
      <c r="I310" t="str">
        <f>VLOOKUP(D310,'Dati di Supporto'!$B$2:$D$104,3,FALSE)</f>
        <v>VB</v>
      </c>
      <c r="J310" t="str">
        <f>VLOOKUP(H310,'Dati di Supporto'!$G$2:$H$21,2,FALSE)</f>
        <v>NORD</v>
      </c>
      <c r="K310">
        <f t="shared" si="4"/>
        <v>96</v>
      </c>
      <c r="L310" t="str">
        <f>_xlfn.IFS(Vendite!F310&lt;'Dati di Supporto'!$O$3,'Dati di Supporto'!$P$2,Vendite!F310&lt;'Dati di Supporto'!$O$4,'Dati di Supporto'!$P$3,Vendite!F310&lt;'Dati di Supporto'!$O$5,'Dati di Supporto'!$P$4,Vendite!F310&lt;'Dati di Supporto'!$O$6,'Dati di Supporto'!$P$5,Vendite!F310&gt;'Dati di Supporto'!$O$6,'Dati di Supporto'!$P$6)</f>
        <v>Fascia 4 (da 1200 €  a meno di 1500 €)</v>
      </c>
      <c r="M310" t="str">
        <f>_xlfn.IFS(G310='Dati di Supporto'!$O$10,'Dati di Supporto'!$P$10,Vendite!G310='Dati di Supporto'!$O$11,'Dati di Supporto'!$P$11,Vendite!G310='Dati di Supporto'!$O$12,'Dati di Supporto'!$P$12,Vendite!G310='Dati di Supporto'!$O$13,'Dati di Supporto'!$P$13,Vendite!G310='Dati di Supporto'!$O$14,'Dati di Supporto'!$P$14)</f>
        <v>Bonifico Bancario</v>
      </c>
    </row>
    <row r="311" spans="1:13" x14ac:dyDescent="0.3">
      <c r="A311" s="11">
        <v>310</v>
      </c>
      <c r="B311" s="6">
        <v>41787</v>
      </c>
      <c r="C311" s="1" t="s">
        <v>247</v>
      </c>
      <c r="D311" s="2" t="s">
        <v>211</v>
      </c>
      <c r="E311" s="2" t="s">
        <v>11</v>
      </c>
      <c r="F311" s="3">
        <v>1889</v>
      </c>
      <c r="G311" s="15">
        <v>5</v>
      </c>
      <c r="H311" t="str">
        <f>VLOOKUP(D311,'Dati di Supporto'!$B$2:$C$104,2,FALSE)</f>
        <v>Calabria</v>
      </c>
      <c r="I311" t="str">
        <f>VLOOKUP(D311,'Dati di Supporto'!$B$2:$D$104,3,FALSE)</f>
        <v>RC</v>
      </c>
      <c r="J311" t="str">
        <f>VLOOKUP(H311,'Dati di Supporto'!$G$2:$H$21,2,FALSE)</f>
        <v>SUD</v>
      </c>
      <c r="K311">
        <f t="shared" si="4"/>
        <v>83</v>
      </c>
      <c r="L311" t="str">
        <f>_xlfn.IFS(Vendite!F311&lt;'Dati di Supporto'!$O$3,'Dati di Supporto'!$P$2,Vendite!F311&lt;'Dati di Supporto'!$O$4,'Dati di Supporto'!$P$3,Vendite!F311&lt;'Dati di Supporto'!$O$5,'Dati di Supporto'!$P$4,Vendite!F311&lt;'Dati di Supporto'!$O$6,'Dati di Supporto'!$P$5,Vendite!F311&gt;'Dati di Supporto'!$O$6,'Dati di Supporto'!$P$6)</f>
        <v>Fascia 5 (da 1500 € e oltre)</v>
      </c>
      <c r="M311" t="str">
        <f>_xlfn.IFS(G311='Dati di Supporto'!$O$10,'Dati di Supporto'!$P$10,Vendite!G311='Dati di Supporto'!$O$11,'Dati di Supporto'!$P$11,Vendite!G311='Dati di Supporto'!$O$12,'Dati di Supporto'!$P$12,Vendite!G311='Dati di Supporto'!$O$13,'Dati di Supporto'!$P$13,Vendite!G311='Dati di Supporto'!$O$14,'Dati di Supporto'!$P$14)</f>
        <v>Assegno Bancario</v>
      </c>
    </row>
    <row r="312" spans="1:13" x14ac:dyDescent="0.3">
      <c r="A312" s="11">
        <v>311</v>
      </c>
      <c r="B312" s="6">
        <v>41697</v>
      </c>
      <c r="C312" s="1" t="s">
        <v>2</v>
      </c>
      <c r="D312" s="2" t="s">
        <v>112</v>
      </c>
      <c r="E312" s="2" t="s">
        <v>250</v>
      </c>
      <c r="F312" s="3">
        <v>1330</v>
      </c>
      <c r="G312" s="15">
        <v>5</v>
      </c>
      <c r="H312" t="str">
        <f>VLOOKUP(D312,'Dati di Supporto'!$B$2:$C$104,2,FALSE)</f>
        <v>Veneto</v>
      </c>
      <c r="I312" t="str">
        <f>VLOOKUP(D312,'Dati di Supporto'!$B$2:$D$104,3,FALSE)</f>
        <v>RO</v>
      </c>
      <c r="J312" t="str">
        <f>VLOOKUP(H312,'Dati di Supporto'!$G$2:$H$21,2,FALSE)</f>
        <v>NORD</v>
      </c>
      <c r="K312">
        <f t="shared" si="4"/>
        <v>84</v>
      </c>
      <c r="L312" t="str">
        <f>_xlfn.IFS(Vendite!F312&lt;'Dati di Supporto'!$O$3,'Dati di Supporto'!$P$2,Vendite!F312&lt;'Dati di Supporto'!$O$4,'Dati di Supporto'!$P$3,Vendite!F312&lt;'Dati di Supporto'!$O$5,'Dati di Supporto'!$P$4,Vendite!F312&lt;'Dati di Supporto'!$O$6,'Dati di Supporto'!$P$5,Vendite!F312&gt;'Dati di Supporto'!$O$6,'Dati di Supporto'!$P$6)</f>
        <v>Fascia 4 (da 1200 €  a meno di 1500 €)</v>
      </c>
      <c r="M312" t="str">
        <f>_xlfn.IFS(G312='Dati di Supporto'!$O$10,'Dati di Supporto'!$P$10,Vendite!G312='Dati di Supporto'!$O$11,'Dati di Supporto'!$P$11,Vendite!G312='Dati di Supporto'!$O$12,'Dati di Supporto'!$P$12,Vendite!G312='Dati di Supporto'!$O$13,'Dati di Supporto'!$P$13,Vendite!G312='Dati di Supporto'!$O$14,'Dati di Supporto'!$P$14)</f>
        <v>Assegno Bancario</v>
      </c>
    </row>
    <row r="313" spans="1:13" x14ac:dyDescent="0.3">
      <c r="A313" s="11">
        <v>312</v>
      </c>
      <c r="B313" s="6">
        <v>41678</v>
      </c>
      <c r="C313" s="1" t="s">
        <v>2</v>
      </c>
      <c r="D313" s="2" t="s">
        <v>211</v>
      </c>
      <c r="E313" s="2" t="s">
        <v>10</v>
      </c>
      <c r="F313" s="3">
        <v>1515</v>
      </c>
      <c r="G313" s="15">
        <v>3</v>
      </c>
      <c r="H313" t="str">
        <f>VLOOKUP(D313,'Dati di Supporto'!$B$2:$C$104,2,FALSE)</f>
        <v>Calabria</v>
      </c>
      <c r="I313" t="str">
        <f>VLOOKUP(D313,'Dati di Supporto'!$B$2:$D$104,3,FALSE)</f>
        <v>RC</v>
      </c>
      <c r="J313" t="str">
        <f>VLOOKUP(H313,'Dati di Supporto'!$G$2:$H$21,2,FALSE)</f>
        <v>SUD</v>
      </c>
      <c r="K313">
        <f t="shared" si="4"/>
        <v>84</v>
      </c>
      <c r="L313" t="str">
        <f>_xlfn.IFS(Vendite!F313&lt;'Dati di Supporto'!$O$3,'Dati di Supporto'!$P$2,Vendite!F313&lt;'Dati di Supporto'!$O$4,'Dati di Supporto'!$P$3,Vendite!F313&lt;'Dati di Supporto'!$O$5,'Dati di Supporto'!$P$4,Vendite!F313&lt;'Dati di Supporto'!$O$6,'Dati di Supporto'!$P$5,Vendite!F313&gt;'Dati di Supporto'!$O$6,'Dati di Supporto'!$P$6)</f>
        <v>Fascia 5 (da 1500 € e oltre)</v>
      </c>
      <c r="M313" t="str">
        <f>_xlfn.IFS(G313='Dati di Supporto'!$O$10,'Dati di Supporto'!$P$10,Vendite!G313='Dati di Supporto'!$O$11,'Dati di Supporto'!$P$11,Vendite!G313='Dati di Supporto'!$O$12,'Dati di Supporto'!$P$12,Vendite!G313='Dati di Supporto'!$O$13,'Dati di Supporto'!$P$13,Vendite!G313='Dati di Supporto'!$O$14,'Dati di Supporto'!$P$14)</f>
        <v>Carta di credito</v>
      </c>
    </row>
    <row r="314" spans="1:13" x14ac:dyDescent="0.3">
      <c r="A314" s="11">
        <v>313</v>
      </c>
      <c r="B314" s="6">
        <v>41765</v>
      </c>
      <c r="C314" s="1" t="s">
        <v>1</v>
      </c>
      <c r="D314" s="2" t="s">
        <v>121</v>
      </c>
      <c r="E314" s="2" t="s">
        <v>251</v>
      </c>
      <c r="F314" s="3">
        <v>363</v>
      </c>
      <c r="G314" s="15">
        <v>4</v>
      </c>
      <c r="H314" t="str">
        <f>VLOOKUP(D314,'Dati di Supporto'!$B$2:$C$104,2,FALSE)</f>
        <v>Umbria</v>
      </c>
      <c r="I314" t="str">
        <f>VLOOKUP(D314,'Dati di Supporto'!$B$2:$D$104,3,FALSE)</f>
        <v>TR</v>
      </c>
      <c r="J314" t="str">
        <f>VLOOKUP(H314,'Dati di Supporto'!$G$2:$H$21,2,FALSE)</f>
        <v>CENTRO</v>
      </c>
      <c r="K314">
        <f t="shared" si="4"/>
        <v>96</v>
      </c>
      <c r="L314" t="str">
        <f>_xlfn.IFS(Vendite!F314&lt;'Dati di Supporto'!$O$3,'Dati di Supporto'!$P$2,Vendite!F314&lt;'Dati di Supporto'!$O$4,'Dati di Supporto'!$P$3,Vendite!F314&lt;'Dati di Supporto'!$O$5,'Dati di Supporto'!$P$4,Vendite!F314&lt;'Dati di Supporto'!$O$6,'Dati di Supporto'!$P$5,Vendite!F314&gt;'Dati di Supporto'!$O$6,'Dati di Supporto'!$P$6)</f>
        <v>Fascia 1 (inferiore a 400 €)</v>
      </c>
      <c r="M314" t="str">
        <f>_xlfn.IFS(G314='Dati di Supporto'!$O$10,'Dati di Supporto'!$P$10,Vendite!G314='Dati di Supporto'!$O$11,'Dati di Supporto'!$P$11,Vendite!G314='Dati di Supporto'!$O$12,'Dati di Supporto'!$P$12,Vendite!G314='Dati di Supporto'!$O$13,'Dati di Supporto'!$P$13,Vendite!G314='Dati di Supporto'!$O$14,'Dati di Supporto'!$P$14)</f>
        <v>Bollettino postale</v>
      </c>
    </row>
    <row r="315" spans="1:13" x14ac:dyDescent="0.3">
      <c r="A315" s="11">
        <v>314</v>
      </c>
      <c r="B315" s="6">
        <v>41782</v>
      </c>
      <c r="C315" s="1" t="s">
        <v>247</v>
      </c>
      <c r="D315" s="2" t="s">
        <v>126</v>
      </c>
      <c r="E315" s="2" t="s">
        <v>251</v>
      </c>
      <c r="F315" s="3">
        <v>1616</v>
      </c>
      <c r="G315" s="15">
        <v>2</v>
      </c>
      <c r="H315" t="str">
        <f>VLOOKUP(D315,'Dati di Supporto'!$B$2:$C$104,2,FALSE)</f>
        <v>Friuli-Venezia Giulia</v>
      </c>
      <c r="I315" t="str">
        <f>VLOOKUP(D315,'Dati di Supporto'!$B$2:$D$104,3,FALSE)</f>
        <v>TS</v>
      </c>
      <c r="J315" t="str">
        <f>VLOOKUP(H315,'Dati di Supporto'!$G$2:$H$21,2,FALSE)</f>
        <v>NORD</v>
      </c>
      <c r="K315">
        <f t="shared" si="4"/>
        <v>83</v>
      </c>
      <c r="L315" t="str">
        <f>_xlfn.IFS(Vendite!F315&lt;'Dati di Supporto'!$O$3,'Dati di Supporto'!$P$2,Vendite!F315&lt;'Dati di Supporto'!$O$4,'Dati di Supporto'!$P$3,Vendite!F315&lt;'Dati di Supporto'!$O$5,'Dati di Supporto'!$P$4,Vendite!F315&lt;'Dati di Supporto'!$O$6,'Dati di Supporto'!$P$5,Vendite!F315&gt;'Dati di Supporto'!$O$6,'Dati di Supporto'!$P$6)</f>
        <v>Fascia 5 (da 1500 € e oltre)</v>
      </c>
      <c r="M315" t="str">
        <f>_xlfn.IFS(G315='Dati di Supporto'!$O$10,'Dati di Supporto'!$P$10,Vendite!G315='Dati di Supporto'!$O$11,'Dati di Supporto'!$P$11,Vendite!G315='Dati di Supporto'!$O$12,'Dati di Supporto'!$P$12,Vendite!G315='Dati di Supporto'!$O$13,'Dati di Supporto'!$P$13,Vendite!G315='Dati di Supporto'!$O$14,'Dati di Supporto'!$P$14)</f>
        <v>Bonifico Bancario</v>
      </c>
    </row>
    <row r="316" spans="1:13" x14ac:dyDescent="0.3">
      <c r="A316" s="11">
        <v>315</v>
      </c>
      <c r="B316" s="6">
        <v>41705</v>
      </c>
      <c r="C316" s="1" t="s">
        <v>248</v>
      </c>
      <c r="D316" s="2" t="s">
        <v>102</v>
      </c>
      <c r="E316" s="2" t="s">
        <v>251</v>
      </c>
      <c r="F316" s="3">
        <v>66</v>
      </c>
      <c r="G316" s="15">
        <v>3</v>
      </c>
      <c r="H316" t="str">
        <f>VLOOKUP(D316,'Dati di Supporto'!$B$2:$C$104,2,FALSE)</f>
        <v>Toscana</v>
      </c>
      <c r="I316" t="str">
        <f>VLOOKUP(D316,'Dati di Supporto'!$B$2:$D$104,3,FALSE)</f>
        <v>PI</v>
      </c>
      <c r="J316" t="str">
        <f>VLOOKUP(H316,'Dati di Supporto'!$G$2:$H$21,2,FALSE)</f>
        <v>CENTRO</v>
      </c>
      <c r="K316">
        <f t="shared" si="4"/>
        <v>80</v>
      </c>
      <c r="L316" t="str">
        <f>_xlfn.IFS(Vendite!F316&lt;'Dati di Supporto'!$O$3,'Dati di Supporto'!$P$2,Vendite!F316&lt;'Dati di Supporto'!$O$4,'Dati di Supporto'!$P$3,Vendite!F316&lt;'Dati di Supporto'!$O$5,'Dati di Supporto'!$P$4,Vendite!F316&lt;'Dati di Supporto'!$O$6,'Dati di Supporto'!$P$5,Vendite!F316&gt;'Dati di Supporto'!$O$6,'Dati di Supporto'!$P$6)</f>
        <v>Fascia 1 (inferiore a 400 €)</v>
      </c>
      <c r="M316" t="str">
        <f>_xlfn.IFS(G316='Dati di Supporto'!$O$10,'Dati di Supporto'!$P$10,Vendite!G316='Dati di Supporto'!$O$11,'Dati di Supporto'!$P$11,Vendite!G316='Dati di Supporto'!$O$12,'Dati di Supporto'!$P$12,Vendite!G316='Dati di Supporto'!$O$13,'Dati di Supporto'!$P$13,Vendite!G316='Dati di Supporto'!$O$14,'Dati di Supporto'!$P$14)</f>
        <v>Carta di credito</v>
      </c>
    </row>
    <row r="317" spans="1:13" x14ac:dyDescent="0.3">
      <c r="A317" s="11">
        <v>316</v>
      </c>
      <c r="B317" s="6">
        <v>41659</v>
      </c>
      <c r="C317" s="1" t="s">
        <v>1</v>
      </c>
      <c r="D317" s="2" t="s">
        <v>105</v>
      </c>
      <c r="E317" s="2" t="s">
        <v>252</v>
      </c>
      <c r="F317" s="3">
        <v>1451</v>
      </c>
      <c r="G317" s="15">
        <v>2</v>
      </c>
      <c r="H317" t="str">
        <f>VLOOKUP(D317,'Dati di Supporto'!$B$2:$C$104,2,FALSE)</f>
        <v>Basilicata</v>
      </c>
      <c r="I317" t="str">
        <f>VLOOKUP(D317,'Dati di Supporto'!$B$2:$D$104,3,FALSE)</f>
        <v>PZ</v>
      </c>
      <c r="J317" t="str">
        <f>VLOOKUP(H317,'Dati di Supporto'!$G$2:$H$21,2,FALSE)</f>
        <v>SUD</v>
      </c>
      <c r="K317">
        <f t="shared" si="4"/>
        <v>96</v>
      </c>
      <c r="L317" t="str">
        <f>_xlfn.IFS(Vendite!F317&lt;'Dati di Supporto'!$O$3,'Dati di Supporto'!$P$2,Vendite!F317&lt;'Dati di Supporto'!$O$4,'Dati di Supporto'!$P$3,Vendite!F317&lt;'Dati di Supporto'!$O$5,'Dati di Supporto'!$P$4,Vendite!F317&lt;'Dati di Supporto'!$O$6,'Dati di Supporto'!$P$5,Vendite!F317&gt;'Dati di Supporto'!$O$6,'Dati di Supporto'!$P$6)</f>
        <v>Fascia 4 (da 1200 €  a meno di 1500 €)</v>
      </c>
      <c r="M317" t="str">
        <f>_xlfn.IFS(G317='Dati di Supporto'!$O$10,'Dati di Supporto'!$P$10,Vendite!G317='Dati di Supporto'!$O$11,'Dati di Supporto'!$P$11,Vendite!G317='Dati di Supporto'!$O$12,'Dati di Supporto'!$P$12,Vendite!G317='Dati di Supporto'!$O$13,'Dati di Supporto'!$P$13,Vendite!G317='Dati di Supporto'!$O$14,'Dati di Supporto'!$P$14)</f>
        <v>Bonifico Bancario</v>
      </c>
    </row>
    <row r="318" spans="1:13" x14ac:dyDescent="0.3">
      <c r="A318" s="11">
        <v>317</v>
      </c>
      <c r="B318" s="6">
        <v>41804</v>
      </c>
      <c r="C318" s="1" t="s">
        <v>3</v>
      </c>
      <c r="D318" s="2" t="s">
        <v>117</v>
      </c>
      <c r="E318" s="2" t="s">
        <v>10</v>
      </c>
      <c r="F318" s="3">
        <v>922</v>
      </c>
      <c r="G318" s="15">
        <v>1</v>
      </c>
      <c r="H318" t="str">
        <f>VLOOKUP(D318,'Dati di Supporto'!$B$2:$C$104,2,FALSE)</f>
        <v>Sicilia</v>
      </c>
      <c r="I318" t="str">
        <f>VLOOKUP(D318,'Dati di Supporto'!$B$2:$D$104,3,FALSE)</f>
        <v>SR</v>
      </c>
      <c r="J318" t="str">
        <f>VLOOKUP(H318,'Dati di Supporto'!$G$2:$H$21,2,FALSE)</f>
        <v>ISOLE</v>
      </c>
      <c r="K318">
        <f t="shared" si="4"/>
        <v>87</v>
      </c>
      <c r="L318" t="str">
        <f>_xlfn.IFS(Vendite!F318&lt;'Dati di Supporto'!$O$3,'Dati di Supporto'!$P$2,Vendite!F318&lt;'Dati di Supporto'!$O$4,'Dati di Supporto'!$P$3,Vendite!F318&lt;'Dati di Supporto'!$O$5,'Dati di Supporto'!$P$4,Vendite!F318&lt;'Dati di Supporto'!$O$6,'Dati di Supporto'!$P$5,Vendite!F318&gt;'Dati di Supporto'!$O$6,'Dati di Supporto'!$P$6)</f>
        <v>Fascia 3 (da 800 €  a meno di 1200 €)</v>
      </c>
      <c r="M318" t="str">
        <f>_xlfn.IFS(G318='Dati di Supporto'!$O$10,'Dati di Supporto'!$P$10,Vendite!G318='Dati di Supporto'!$O$11,'Dati di Supporto'!$P$11,Vendite!G318='Dati di Supporto'!$O$12,'Dati di Supporto'!$P$12,Vendite!G318='Dati di Supporto'!$O$13,'Dati di Supporto'!$P$13,Vendite!G318='Dati di Supporto'!$O$14,'Dati di Supporto'!$P$14)</f>
        <v>Contanti</v>
      </c>
    </row>
    <row r="319" spans="1:13" x14ac:dyDescent="0.3">
      <c r="A319" s="11">
        <v>318</v>
      </c>
      <c r="B319" s="6">
        <v>41747</v>
      </c>
      <c r="C319" s="1" t="s">
        <v>247</v>
      </c>
      <c r="D319" s="2" t="s">
        <v>98</v>
      </c>
      <c r="E319" s="2" t="s">
        <v>251</v>
      </c>
      <c r="F319" s="3">
        <v>777</v>
      </c>
      <c r="G319" s="15">
        <v>4</v>
      </c>
      <c r="H319" t="str">
        <f>VLOOKUP(D319,'Dati di Supporto'!$B$2:$C$104,2,FALSE)</f>
        <v>Umbria</v>
      </c>
      <c r="I319" t="str">
        <f>VLOOKUP(D319,'Dati di Supporto'!$B$2:$D$104,3,FALSE)</f>
        <v>PG</v>
      </c>
      <c r="J319" t="str">
        <f>VLOOKUP(H319,'Dati di Supporto'!$G$2:$H$21,2,FALSE)</f>
        <v>CENTRO</v>
      </c>
      <c r="K319">
        <f t="shared" si="4"/>
        <v>83</v>
      </c>
      <c r="L319" t="str">
        <f>_xlfn.IFS(Vendite!F319&lt;'Dati di Supporto'!$O$3,'Dati di Supporto'!$P$2,Vendite!F319&lt;'Dati di Supporto'!$O$4,'Dati di Supporto'!$P$3,Vendite!F319&lt;'Dati di Supporto'!$O$5,'Dati di Supporto'!$P$4,Vendite!F319&lt;'Dati di Supporto'!$O$6,'Dati di Supporto'!$P$5,Vendite!F319&gt;'Dati di Supporto'!$O$6,'Dati di Supporto'!$P$6)</f>
        <v>Fascia 2 (da 400 €  a meno di 800 €)</v>
      </c>
      <c r="M319" t="str">
        <f>_xlfn.IFS(G319='Dati di Supporto'!$O$10,'Dati di Supporto'!$P$10,Vendite!G319='Dati di Supporto'!$O$11,'Dati di Supporto'!$P$11,Vendite!G319='Dati di Supporto'!$O$12,'Dati di Supporto'!$P$12,Vendite!G319='Dati di Supporto'!$O$13,'Dati di Supporto'!$P$13,Vendite!G319='Dati di Supporto'!$O$14,'Dati di Supporto'!$P$14)</f>
        <v>Bollettino postale</v>
      </c>
    </row>
    <row r="320" spans="1:13" x14ac:dyDescent="0.3">
      <c r="A320" s="11">
        <v>319</v>
      </c>
      <c r="B320" s="6">
        <v>41748</v>
      </c>
      <c r="C320" s="1" t="s">
        <v>247</v>
      </c>
      <c r="D320" s="2" t="s">
        <v>131</v>
      </c>
      <c r="E320" s="2" t="s">
        <v>252</v>
      </c>
      <c r="F320" s="3">
        <v>1553</v>
      </c>
      <c r="G320" s="15">
        <v>3</v>
      </c>
      <c r="H320" t="str">
        <f>VLOOKUP(D320,'Dati di Supporto'!$B$2:$C$104,2,FALSE)</f>
        <v>Piemonte</v>
      </c>
      <c r="I320" t="str">
        <f>VLOOKUP(D320,'Dati di Supporto'!$B$2:$D$104,3,FALSE)</f>
        <v>VC</v>
      </c>
      <c r="J320" t="str">
        <f>VLOOKUP(H320,'Dati di Supporto'!$G$2:$H$21,2,FALSE)</f>
        <v>NORD</v>
      </c>
      <c r="K320">
        <f t="shared" si="4"/>
        <v>83</v>
      </c>
      <c r="L320" t="str">
        <f>_xlfn.IFS(Vendite!F320&lt;'Dati di Supporto'!$O$3,'Dati di Supporto'!$P$2,Vendite!F320&lt;'Dati di Supporto'!$O$4,'Dati di Supporto'!$P$3,Vendite!F320&lt;'Dati di Supporto'!$O$5,'Dati di Supporto'!$P$4,Vendite!F320&lt;'Dati di Supporto'!$O$6,'Dati di Supporto'!$P$5,Vendite!F320&gt;'Dati di Supporto'!$O$6,'Dati di Supporto'!$P$6)</f>
        <v>Fascia 5 (da 1500 € e oltre)</v>
      </c>
      <c r="M320" t="str">
        <f>_xlfn.IFS(G320='Dati di Supporto'!$O$10,'Dati di Supporto'!$P$10,Vendite!G320='Dati di Supporto'!$O$11,'Dati di Supporto'!$P$11,Vendite!G320='Dati di Supporto'!$O$12,'Dati di Supporto'!$P$12,Vendite!G320='Dati di Supporto'!$O$13,'Dati di Supporto'!$P$13,Vendite!G320='Dati di Supporto'!$O$14,'Dati di Supporto'!$P$14)</f>
        <v>Carta di credito</v>
      </c>
    </row>
    <row r="321" spans="1:13" x14ac:dyDescent="0.3">
      <c r="A321" s="11">
        <v>320</v>
      </c>
      <c r="B321" s="6">
        <v>41660</v>
      </c>
      <c r="C321" s="1" t="s">
        <v>247</v>
      </c>
      <c r="D321" s="2" t="s">
        <v>111</v>
      </c>
      <c r="E321" s="2" t="s">
        <v>11</v>
      </c>
      <c r="F321" s="3">
        <v>1602</v>
      </c>
      <c r="G321" s="15">
        <v>4</v>
      </c>
      <c r="H321" t="str">
        <f>VLOOKUP(D321,'Dati di Supporto'!$B$2:$C$104,2,FALSE)</f>
        <v>Lazio</v>
      </c>
      <c r="I321" t="str">
        <f>VLOOKUP(D321,'Dati di Supporto'!$B$2:$D$104,3,FALSE)</f>
        <v>RM</v>
      </c>
      <c r="J321" t="str">
        <f>VLOOKUP(H321,'Dati di Supporto'!$G$2:$H$21,2,FALSE)</f>
        <v>CENTRO</v>
      </c>
      <c r="K321">
        <f t="shared" si="4"/>
        <v>83</v>
      </c>
      <c r="L321" t="str">
        <f>_xlfn.IFS(Vendite!F321&lt;'Dati di Supporto'!$O$3,'Dati di Supporto'!$P$2,Vendite!F321&lt;'Dati di Supporto'!$O$4,'Dati di Supporto'!$P$3,Vendite!F321&lt;'Dati di Supporto'!$O$5,'Dati di Supporto'!$P$4,Vendite!F321&lt;'Dati di Supporto'!$O$6,'Dati di Supporto'!$P$5,Vendite!F321&gt;'Dati di Supporto'!$O$6,'Dati di Supporto'!$P$6)</f>
        <v>Fascia 5 (da 1500 € e oltre)</v>
      </c>
      <c r="M321" t="str">
        <f>_xlfn.IFS(G321='Dati di Supporto'!$O$10,'Dati di Supporto'!$P$10,Vendite!G321='Dati di Supporto'!$O$11,'Dati di Supporto'!$P$11,Vendite!G321='Dati di Supporto'!$O$12,'Dati di Supporto'!$P$12,Vendite!G321='Dati di Supporto'!$O$13,'Dati di Supporto'!$P$13,Vendite!G321='Dati di Supporto'!$O$14,'Dati di Supporto'!$P$14)</f>
        <v>Bollettino postale</v>
      </c>
    </row>
    <row r="322" spans="1:13" x14ac:dyDescent="0.3">
      <c r="A322" s="11">
        <v>321</v>
      </c>
      <c r="B322" s="6">
        <v>41745</v>
      </c>
      <c r="C322" s="1" t="s">
        <v>8</v>
      </c>
      <c r="D322" s="2" t="s">
        <v>126</v>
      </c>
      <c r="E322" s="2" t="s">
        <v>251</v>
      </c>
      <c r="F322" s="3">
        <v>1223</v>
      </c>
      <c r="G322" s="15">
        <v>4</v>
      </c>
      <c r="H322" t="str">
        <f>VLOOKUP(D322,'Dati di Supporto'!$B$2:$C$104,2,FALSE)</f>
        <v>Friuli-Venezia Giulia</v>
      </c>
      <c r="I322" t="str">
        <f>VLOOKUP(D322,'Dati di Supporto'!$B$2:$D$104,3,FALSE)</f>
        <v>TS</v>
      </c>
      <c r="J322" t="str">
        <f>VLOOKUP(H322,'Dati di Supporto'!$G$2:$H$21,2,FALSE)</f>
        <v>NORD</v>
      </c>
      <c r="K322">
        <f t="shared" si="4"/>
        <v>70</v>
      </c>
      <c r="L322" t="str">
        <f>_xlfn.IFS(Vendite!F322&lt;'Dati di Supporto'!$O$3,'Dati di Supporto'!$P$2,Vendite!F322&lt;'Dati di Supporto'!$O$4,'Dati di Supporto'!$P$3,Vendite!F322&lt;'Dati di Supporto'!$O$5,'Dati di Supporto'!$P$4,Vendite!F322&lt;'Dati di Supporto'!$O$6,'Dati di Supporto'!$P$5,Vendite!F322&gt;'Dati di Supporto'!$O$6,'Dati di Supporto'!$P$6)</f>
        <v>Fascia 4 (da 1200 €  a meno di 1500 €)</v>
      </c>
      <c r="M322" t="str">
        <f>_xlfn.IFS(G322='Dati di Supporto'!$O$10,'Dati di Supporto'!$P$10,Vendite!G322='Dati di Supporto'!$O$11,'Dati di Supporto'!$P$11,Vendite!G322='Dati di Supporto'!$O$12,'Dati di Supporto'!$P$12,Vendite!G322='Dati di Supporto'!$O$13,'Dati di Supporto'!$P$13,Vendite!G322='Dati di Supporto'!$O$14,'Dati di Supporto'!$P$14)</f>
        <v>Bollettino postale</v>
      </c>
    </row>
    <row r="323" spans="1:13" x14ac:dyDescent="0.3">
      <c r="A323" s="11">
        <v>322</v>
      </c>
      <c r="B323" s="6">
        <v>41799</v>
      </c>
      <c r="C323" s="1" t="s">
        <v>1</v>
      </c>
      <c r="D323" s="2" t="s">
        <v>115</v>
      </c>
      <c r="E323" s="2" t="s">
        <v>251</v>
      </c>
      <c r="F323" s="3">
        <v>1410</v>
      </c>
      <c r="G323" s="15">
        <v>1</v>
      </c>
      <c r="H323" t="str">
        <f>VLOOKUP(D323,'Dati di Supporto'!$B$2:$C$104,2,FALSE)</f>
        <v>Liguria</v>
      </c>
      <c r="I323" t="str">
        <f>VLOOKUP(D323,'Dati di Supporto'!$B$2:$D$104,3,FALSE)</f>
        <v>SV</v>
      </c>
      <c r="J323" t="str">
        <f>VLOOKUP(H323,'Dati di Supporto'!$G$2:$H$21,2,FALSE)</f>
        <v>NORD</v>
      </c>
      <c r="K323">
        <f t="shared" ref="K323:K386" si="5">COUNTIF($C$2:$C$501,C323)</f>
        <v>96</v>
      </c>
      <c r="L323" t="str">
        <f>_xlfn.IFS(Vendite!F323&lt;'Dati di Supporto'!$O$3,'Dati di Supporto'!$P$2,Vendite!F323&lt;'Dati di Supporto'!$O$4,'Dati di Supporto'!$P$3,Vendite!F323&lt;'Dati di Supporto'!$O$5,'Dati di Supporto'!$P$4,Vendite!F323&lt;'Dati di Supporto'!$O$6,'Dati di Supporto'!$P$5,Vendite!F323&gt;'Dati di Supporto'!$O$6,'Dati di Supporto'!$P$6)</f>
        <v>Fascia 4 (da 1200 €  a meno di 1500 €)</v>
      </c>
      <c r="M323" t="str">
        <f>_xlfn.IFS(G323='Dati di Supporto'!$O$10,'Dati di Supporto'!$P$10,Vendite!G323='Dati di Supporto'!$O$11,'Dati di Supporto'!$P$11,Vendite!G323='Dati di Supporto'!$O$12,'Dati di Supporto'!$P$12,Vendite!G323='Dati di Supporto'!$O$13,'Dati di Supporto'!$P$13,Vendite!G323='Dati di Supporto'!$O$14,'Dati di Supporto'!$P$14)</f>
        <v>Contanti</v>
      </c>
    </row>
    <row r="324" spans="1:13" x14ac:dyDescent="0.3">
      <c r="A324" s="11">
        <v>323</v>
      </c>
      <c r="B324" s="6">
        <v>41640</v>
      </c>
      <c r="C324" s="1" t="s">
        <v>1</v>
      </c>
      <c r="D324" s="2" t="s">
        <v>112</v>
      </c>
      <c r="E324" s="2" t="s">
        <v>10</v>
      </c>
      <c r="F324" s="3">
        <v>452</v>
      </c>
      <c r="G324" s="15">
        <v>4</v>
      </c>
      <c r="H324" t="str">
        <f>VLOOKUP(D324,'Dati di Supporto'!$B$2:$C$104,2,FALSE)</f>
        <v>Veneto</v>
      </c>
      <c r="I324" t="str">
        <f>VLOOKUP(D324,'Dati di Supporto'!$B$2:$D$104,3,FALSE)</f>
        <v>RO</v>
      </c>
      <c r="J324" t="str">
        <f>VLOOKUP(H324,'Dati di Supporto'!$G$2:$H$21,2,FALSE)</f>
        <v>NORD</v>
      </c>
      <c r="K324">
        <f t="shared" si="5"/>
        <v>96</v>
      </c>
      <c r="L324" t="str">
        <f>_xlfn.IFS(Vendite!F324&lt;'Dati di Supporto'!$O$3,'Dati di Supporto'!$P$2,Vendite!F324&lt;'Dati di Supporto'!$O$4,'Dati di Supporto'!$P$3,Vendite!F324&lt;'Dati di Supporto'!$O$5,'Dati di Supporto'!$P$4,Vendite!F324&lt;'Dati di Supporto'!$O$6,'Dati di Supporto'!$P$5,Vendite!F324&gt;'Dati di Supporto'!$O$6,'Dati di Supporto'!$P$6)</f>
        <v>Fascia 2 (da 400 €  a meno di 800 €)</v>
      </c>
      <c r="M324" t="str">
        <f>_xlfn.IFS(G324='Dati di Supporto'!$O$10,'Dati di Supporto'!$P$10,Vendite!G324='Dati di Supporto'!$O$11,'Dati di Supporto'!$P$11,Vendite!G324='Dati di Supporto'!$O$12,'Dati di Supporto'!$P$12,Vendite!G324='Dati di Supporto'!$O$13,'Dati di Supporto'!$P$13,Vendite!G324='Dati di Supporto'!$O$14,'Dati di Supporto'!$P$14)</f>
        <v>Bollettino postale</v>
      </c>
    </row>
    <row r="325" spans="1:13" x14ac:dyDescent="0.3">
      <c r="A325" s="11">
        <v>324</v>
      </c>
      <c r="B325" s="6">
        <v>41658</v>
      </c>
      <c r="C325" s="1" t="s">
        <v>2</v>
      </c>
      <c r="D325" s="2" t="s">
        <v>100</v>
      </c>
      <c r="E325" s="2" t="s">
        <v>10</v>
      </c>
      <c r="F325" s="3">
        <v>242</v>
      </c>
      <c r="G325" s="15">
        <v>1</v>
      </c>
      <c r="H325" t="str">
        <f>VLOOKUP(D325,'Dati di Supporto'!$B$2:$C$104,2,FALSE)</f>
        <v>Abruzzo</v>
      </c>
      <c r="I325" t="str">
        <f>VLOOKUP(D325,'Dati di Supporto'!$B$2:$D$104,3,FALSE)</f>
        <v>PE</v>
      </c>
      <c r="J325" t="str">
        <f>VLOOKUP(H325,'Dati di Supporto'!$G$2:$H$21,2,FALSE)</f>
        <v>CENTRO</v>
      </c>
      <c r="K325">
        <f t="shared" si="5"/>
        <v>84</v>
      </c>
      <c r="L325" t="str">
        <f>_xlfn.IFS(Vendite!F325&lt;'Dati di Supporto'!$O$3,'Dati di Supporto'!$P$2,Vendite!F325&lt;'Dati di Supporto'!$O$4,'Dati di Supporto'!$P$3,Vendite!F325&lt;'Dati di Supporto'!$O$5,'Dati di Supporto'!$P$4,Vendite!F325&lt;'Dati di Supporto'!$O$6,'Dati di Supporto'!$P$5,Vendite!F325&gt;'Dati di Supporto'!$O$6,'Dati di Supporto'!$P$6)</f>
        <v>Fascia 1 (inferiore a 400 €)</v>
      </c>
      <c r="M325" t="str">
        <f>_xlfn.IFS(G325='Dati di Supporto'!$O$10,'Dati di Supporto'!$P$10,Vendite!G325='Dati di Supporto'!$O$11,'Dati di Supporto'!$P$11,Vendite!G325='Dati di Supporto'!$O$12,'Dati di Supporto'!$P$12,Vendite!G325='Dati di Supporto'!$O$13,'Dati di Supporto'!$P$13,Vendite!G325='Dati di Supporto'!$O$14,'Dati di Supporto'!$P$14)</f>
        <v>Contanti</v>
      </c>
    </row>
    <row r="326" spans="1:13" x14ac:dyDescent="0.3">
      <c r="A326" s="11">
        <v>325</v>
      </c>
      <c r="B326" s="6">
        <v>41744</v>
      </c>
      <c r="C326" s="1" t="s">
        <v>8</v>
      </c>
      <c r="D326" s="2" t="s">
        <v>101</v>
      </c>
      <c r="E326" s="2" t="s">
        <v>11</v>
      </c>
      <c r="F326" s="3">
        <v>1568</v>
      </c>
      <c r="G326" s="15">
        <v>4</v>
      </c>
      <c r="H326" t="str">
        <f>VLOOKUP(D326,'Dati di Supporto'!$B$2:$C$104,2,FALSE)</f>
        <v>Emilia-Romagna</v>
      </c>
      <c r="I326" t="str">
        <f>VLOOKUP(D326,'Dati di Supporto'!$B$2:$D$104,3,FALSE)</f>
        <v>PC</v>
      </c>
      <c r="J326" t="str">
        <f>VLOOKUP(H326,'Dati di Supporto'!$G$2:$H$21,2,FALSE)</f>
        <v>NORD</v>
      </c>
      <c r="K326">
        <f t="shared" si="5"/>
        <v>70</v>
      </c>
      <c r="L326" t="str">
        <f>_xlfn.IFS(Vendite!F326&lt;'Dati di Supporto'!$O$3,'Dati di Supporto'!$P$2,Vendite!F326&lt;'Dati di Supporto'!$O$4,'Dati di Supporto'!$P$3,Vendite!F326&lt;'Dati di Supporto'!$O$5,'Dati di Supporto'!$P$4,Vendite!F326&lt;'Dati di Supporto'!$O$6,'Dati di Supporto'!$P$5,Vendite!F326&gt;'Dati di Supporto'!$O$6,'Dati di Supporto'!$P$6)</f>
        <v>Fascia 5 (da 1500 € e oltre)</v>
      </c>
      <c r="M326" t="str">
        <f>_xlfn.IFS(G326='Dati di Supporto'!$O$10,'Dati di Supporto'!$P$10,Vendite!G326='Dati di Supporto'!$O$11,'Dati di Supporto'!$P$11,Vendite!G326='Dati di Supporto'!$O$12,'Dati di Supporto'!$P$12,Vendite!G326='Dati di Supporto'!$O$13,'Dati di Supporto'!$P$13,Vendite!G326='Dati di Supporto'!$O$14,'Dati di Supporto'!$P$14)</f>
        <v>Bollettino postale</v>
      </c>
    </row>
    <row r="327" spans="1:13" x14ac:dyDescent="0.3">
      <c r="A327" s="11">
        <v>326</v>
      </c>
      <c r="B327" s="6">
        <v>41706</v>
      </c>
      <c r="C327" s="1" t="s">
        <v>2</v>
      </c>
      <c r="D327" s="2" t="s">
        <v>135</v>
      </c>
      <c r="E327" s="2" t="s">
        <v>251</v>
      </c>
      <c r="F327" s="3">
        <v>207</v>
      </c>
      <c r="G327" s="15">
        <v>4</v>
      </c>
      <c r="H327" t="str">
        <f>VLOOKUP(D327,'Dati di Supporto'!$B$2:$C$104,2,FALSE)</f>
        <v>Lazio</v>
      </c>
      <c r="I327" t="str">
        <f>VLOOKUP(D327,'Dati di Supporto'!$B$2:$D$104,3,FALSE)</f>
        <v>VT</v>
      </c>
      <c r="J327" t="str">
        <f>VLOOKUP(H327,'Dati di Supporto'!$G$2:$H$21,2,FALSE)</f>
        <v>CENTRO</v>
      </c>
      <c r="K327">
        <f t="shared" si="5"/>
        <v>84</v>
      </c>
      <c r="L327" t="str">
        <f>_xlfn.IFS(Vendite!F327&lt;'Dati di Supporto'!$O$3,'Dati di Supporto'!$P$2,Vendite!F327&lt;'Dati di Supporto'!$O$4,'Dati di Supporto'!$P$3,Vendite!F327&lt;'Dati di Supporto'!$O$5,'Dati di Supporto'!$P$4,Vendite!F327&lt;'Dati di Supporto'!$O$6,'Dati di Supporto'!$P$5,Vendite!F327&gt;'Dati di Supporto'!$O$6,'Dati di Supporto'!$P$6)</f>
        <v>Fascia 1 (inferiore a 400 €)</v>
      </c>
      <c r="M327" t="str">
        <f>_xlfn.IFS(G327='Dati di Supporto'!$O$10,'Dati di Supporto'!$P$10,Vendite!G327='Dati di Supporto'!$O$11,'Dati di Supporto'!$P$11,Vendite!G327='Dati di Supporto'!$O$12,'Dati di Supporto'!$P$12,Vendite!G327='Dati di Supporto'!$O$13,'Dati di Supporto'!$P$13,Vendite!G327='Dati di Supporto'!$O$14,'Dati di Supporto'!$P$14)</f>
        <v>Bollettino postale</v>
      </c>
    </row>
    <row r="328" spans="1:13" x14ac:dyDescent="0.3">
      <c r="A328" s="11">
        <v>327</v>
      </c>
      <c r="B328" s="6">
        <v>41749</v>
      </c>
      <c r="C328" s="1" t="s">
        <v>8</v>
      </c>
      <c r="D328" s="2" t="s">
        <v>109</v>
      </c>
      <c r="E328" s="2" t="s">
        <v>250</v>
      </c>
      <c r="F328" s="3">
        <v>1912</v>
      </c>
      <c r="G328" s="15">
        <v>2</v>
      </c>
      <c r="H328" t="str">
        <f>VLOOKUP(D328,'Dati di Supporto'!$B$2:$C$104,2,FALSE)</f>
        <v>Lazio</v>
      </c>
      <c r="I328" t="str">
        <f>VLOOKUP(D328,'Dati di Supporto'!$B$2:$D$104,3,FALSE)</f>
        <v>RI</v>
      </c>
      <c r="J328" t="str">
        <f>VLOOKUP(H328,'Dati di Supporto'!$G$2:$H$21,2,FALSE)</f>
        <v>CENTRO</v>
      </c>
      <c r="K328">
        <f t="shared" si="5"/>
        <v>70</v>
      </c>
      <c r="L328" t="str">
        <f>_xlfn.IFS(Vendite!F328&lt;'Dati di Supporto'!$O$3,'Dati di Supporto'!$P$2,Vendite!F328&lt;'Dati di Supporto'!$O$4,'Dati di Supporto'!$P$3,Vendite!F328&lt;'Dati di Supporto'!$O$5,'Dati di Supporto'!$P$4,Vendite!F328&lt;'Dati di Supporto'!$O$6,'Dati di Supporto'!$P$5,Vendite!F328&gt;'Dati di Supporto'!$O$6,'Dati di Supporto'!$P$6)</f>
        <v>Fascia 5 (da 1500 € e oltre)</v>
      </c>
      <c r="M328" t="str">
        <f>_xlfn.IFS(G328='Dati di Supporto'!$O$10,'Dati di Supporto'!$P$10,Vendite!G328='Dati di Supporto'!$O$11,'Dati di Supporto'!$P$11,Vendite!G328='Dati di Supporto'!$O$12,'Dati di Supporto'!$P$12,Vendite!G328='Dati di Supporto'!$O$13,'Dati di Supporto'!$P$13,Vendite!G328='Dati di Supporto'!$O$14,'Dati di Supporto'!$P$14)</f>
        <v>Bonifico Bancario</v>
      </c>
    </row>
    <row r="329" spans="1:13" x14ac:dyDescent="0.3">
      <c r="A329" s="11">
        <v>328</v>
      </c>
      <c r="B329" s="6">
        <v>41655</v>
      </c>
      <c r="C329" s="1" t="s">
        <v>8</v>
      </c>
      <c r="D329" s="2" t="s">
        <v>213</v>
      </c>
      <c r="E329" s="2" t="s">
        <v>252</v>
      </c>
      <c r="F329" s="3">
        <v>771</v>
      </c>
      <c r="G329" s="15">
        <v>5</v>
      </c>
      <c r="H329" t="str">
        <f>VLOOKUP(D329,'Dati di Supporto'!$B$2:$C$104,2,FALSE)</f>
        <v>Emilia-Romagna</v>
      </c>
      <c r="I329" t="str">
        <f>VLOOKUP(D329,'Dati di Supporto'!$B$2:$D$104,3,FALSE)</f>
        <v>RE</v>
      </c>
      <c r="J329" t="str">
        <f>VLOOKUP(H329,'Dati di Supporto'!$G$2:$H$21,2,FALSE)</f>
        <v>NORD</v>
      </c>
      <c r="K329">
        <f t="shared" si="5"/>
        <v>70</v>
      </c>
      <c r="L329" t="str">
        <f>_xlfn.IFS(Vendite!F329&lt;'Dati di Supporto'!$O$3,'Dati di Supporto'!$P$2,Vendite!F329&lt;'Dati di Supporto'!$O$4,'Dati di Supporto'!$P$3,Vendite!F329&lt;'Dati di Supporto'!$O$5,'Dati di Supporto'!$P$4,Vendite!F329&lt;'Dati di Supporto'!$O$6,'Dati di Supporto'!$P$5,Vendite!F329&gt;'Dati di Supporto'!$O$6,'Dati di Supporto'!$P$6)</f>
        <v>Fascia 2 (da 400 €  a meno di 800 €)</v>
      </c>
      <c r="M329" t="str">
        <f>_xlfn.IFS(G329='Dati di Supporto'!$O$10,'Dati di Supporto'!$P$10,Vendite!G329='Dati di Supporto'!$O$11,'Dati di Supporto'!$P$11,Vendite!G329='Dati di Supporto'!$O$12,'Dati di Supporto'!$P$12,Vendite!G329='Dati di Supporto'!$O$13,'Dati di Supporto'!$P$13,Vendite!G329='Dati di Supporto'!$O$14,'Dati di Supporto'!$P$14)</f>
        <v>Assegno Bancario</v>
      </c>
    </row>
    <row r="330" spans="1:13" x14ac:dyDescent="0.3">
      <c r="A330" s="11">
        <v>329</v>
      </c>
      <c r="B330" s="6">
        <v>41693</v>
      </c>
      <c r="C330" s="1" t="s">
        <v>248</v>
      </c>
      <c r="D330" s="2" t="s">
        <v>115</v>
      </c>
      <c r="E330" s="2" t="s">
        <v>251</v>
      </c>
      <c r="F330" s="3">
        <v>97</v>
      </c>
      <c r="G330" s="15">
        <v>2</v>
      </c>
      <c r="H330" t="str">
        <f>VLOOKUP(D330,'Dati di Supporto'!$B$2:$C$104,2,FALSE)</f>
        <v>Liguria</v>
      </c>
      <c r="I330" t="str">
        <f>VLOOKUP(D330,'Dati di Supporto'!$B$2:$D$104,3,FALSE)</f>
        <v>SV</v>
      </c>
      <c r="J330" t="str">
        <f>VLOOKUP(H330,'Dati di Supporto'!$G$2:$H$21,2,FALSE)</f>
        <v>NORD</v>
      </c>
      <c r="K330">
        <f t="shared" si="5"/>
        <v>80</v>
      </c>
      <c r="L330" t="str">
        <f>_xlfn.IFS(Vendite!F330&lt;'Dati di Supporto'!$O$3,'Dati di Supporto'!$P$2,Vendite!F330&lt;'Dati di Supporto'!$O$4,'Dati di Supporto'!$P$3,Vendite!F330&lt;'Dati di Supporto'!$O$5,'Dati di Supporto'!$P$4,Vendite!F330&lt;'Dati di Supporto'!$O$6,'Dati di Supporto'!$P$5,Vendite!F330&gt;'Dati di Supporto'!$O$6,'Dati di Supporto'!$P$6)</f>
        <v>Fascia 1 (inferiore a 400 €)</v>
      </c>
      <c r="M330" t="str">
        <f>_xlfn.IFS(G330='Dati di Supporto'!$O$10,'Dati di Supporto'!$P$10,Vendite!G330='Dati di Supporto'!$O$11,'Dati di Supporto'!$P$11,Vendite!G330='Dati di Supporto'!$O$12,'Dati di Supporto'!$P$12,Vendite!G330='Dati di Supporto'!$O$13,'Dati di Supporto'!$P$13,Vendite!G330='Dati di Supporto'!$O$14,'Dati di Supporto'!$P$14)</f>
        <v>Bonifico Bancario</v>
      </c>
    </row>
    <row r="331" spans="1:13" x14ac:dyDescent="0.3">
      <c r="A331" s="11">
        <v>330</v>
      </c>
      <c r="B331" s="6">
        <v>41716</v>
      </c>
      <c r="C331" s="1" t="s">
        <v>1</v>
      </c>
      <c r="D331" s="2" t="s">
        <v>100</v>
      </c>
      <c r="E331" s="2" t="s">
        <v>252</v>
      </c>
      <c r="F331" s="3">
        <v>1361</v>
      </c>
      <c r="G331" s="15">
        <v>5</v>
      </c>
      <c r="H331" t="str">
        <f>VLOOKUP(D331,'Dati di Supporto'!$B$2:$C$104,2,FALSE)</f>
        <v>Abruzzo</v>
      </c>
      <c r="I331" t="str">
        <f>VLOOKUP(D331,'Dati di Supporto'!$B$2:$D$104,3,FALSE)</f>
        <v>PE</v>
      </c>
      <c r="J331" t="str">
        <f>VLOOKUP(H331,'Dati di Supporto'!$G$2:$H$21,2,FALSE)</f>
        <v>CENTRO</v>
      </c>
      <c r="K331">
        <f t="shared" si="5"/>
        <v>96</v>
      </c>
      <c r="L331" t="str">
        <f>_xlfn.IFS(Vendite!F331&lt;'Dati di Supporto'!$O$3,'Dati di Supporto'!$P$2,Vendite!F331&lt;'Dati di Supporto'!$O$4,'Dati di Supporto'!$P$3,Vendite!F331&lt;'Dati di Supporto'!$O$5,'Dati di Supporto'!$P$4,Vendite!F331&lt;'Dati di Supporto'!$O$6,'Dati di Supporto'!$P$5,Vendite!F331&gt;'Dati di Supporto'!$O$6,'Dati di Supporto'!$P$6)</f>
        <v>Fascia 4 (da 1200 €  a meno di 1500 €)</v>
      </c>
      <c r="M331" t="str">
        <f>_xlfn.IFS(G331='Dati di Supporto'!$O$10,'Dati di Supporto'!$P$10,Vendite!G331='Dati di Supporto'!$O$11,'Dati di Supporto'!$P$11,Vendite!G331='Dati di Supporto'!$O$12,'Dati di Supporto'!$P$12,Vendite!G331='Dati di Supporto'!$O$13,'Dati di Supporto'!$P$13,Vendite!G331='Dati di Supporto'!$O$14,'Dati di Supporto'!$P$14)</f>
        <v>Assegno Bancario</v>
      </c>
    </row>
    <row r="332" spans="1:13" x14ac:dyDescent="0.3">
      <c r="A332" s="11">
        <v>331</v>
      </c>
      <c r="B332" s="6">
        <v>41703</v>
      </c>
      <c r="C332" s="1" t="s">
        <v>247</v>
      </c>
      <c r="D332" s="2" t="s">
        <v>134</v>
      </c>
      <c r="E332" s="2" t="s">
        <v>250</v>
      </c>
      <c r="F332" s="3">
        <v>1986</v>
      </c>
      <c r="G332" s="15">
        <v>4</v>
      </c>
      <c r="H332" t="str">
        <f>VLOOKUP(D332,'Dati di Supporto'!$B$2:$C$104,2,FALSE)</f>
        <v>Veneto</v>
      </c>
      <c r="I332" t="str">
        <f>VLOOKUP(D332,'Dati di Supporto'!$B$2:$D$104,3,FALSE)</f>
        <v>VI</v>
      </c>
      <c r="J332" t="str">
        <f>VLOOKUP(H332,'Dati di Supporto'!$G$2:$H$21,2,FALSE)</f>
        <v>NORD</v>
      </c>
      <c r="K332">
        <f t="shared" si="5"/>
        <v>83</v>
      </c>
      <c r="L332" t="str">
        <f>_xlfn.IFS(Vendite!F332&lt;'Dati di Supporto'!$O$3,'Dati di Supporto'!$P$2,Vendite!F332&lt;'Dati di Supporto'!$O$4,'Dati di Supporto'!$P$3,Vendite!F332&lt;'Dati di Supporto'!$O$5,'Dati di Supporto'!$P$4,Vendite!F332&lt;'Dati di Supporto'!$O$6,'Dati di Supporto'!$P$5,Vendite!F332&gt;'Dati di Supporto'!$O$6,'Dati di Supporto'!$P$6)</f>
        <v>Fascia 5 (da 1500 € e oltre)</v>
      </c>
      <c r="M332" t="str">
        <f>_xlfn.IFS(G332='Dati di Supporto'!$O$10,'Dati di Supporto'!$P$10,Vendite!G332='Dati di Supporto'!$O$11,'Dati di Supporto'!$P$11,Vendite!G332='Dati di Supporto'!$O$12,'Dati di Supporto'!$P$12,Vendite!G332='Dati di Supporto'!$O$13,'Dati di Supporto'!$P$13,Vendite!G332='Dati di Supporto'!$O$14,'Dati di Supporto'!$P$14)</f>
        <v>Bollettino postale</v>
      </c>
    </row>
    <row r="333" spans="1:13" x14ac:dyDescent="0.3">
      <c r="A333" s="11">
        <v>332</v>
      </c>
      <c r="B333" s="6">
        <v>41708</v>
      </c>
      <c r="C333" s="1" t="s">
        <v>3</v>
      </c>
      <c r="D333" s="2" t="s">
        <v>129</v>
      </c>
      <c r="E333" s="2" t="s">
        <v>252</v>
      </c>
      <c r="F333" s="3">
        <v>1244</v>
      </c>
      <c r="G333" s="15">
        <v>3</v>
      </c>
      <c r="H333" t="str">
        <f>VLOOKUP(D333,'Dati di Supporto'!$B$2:$C$104,2,FALSE)</f>
        <v>Veneto</v>
      </c>
      <c r="I333" t="str">
        <f>VLOOKUP(D333,'Dati di Supporto'!$B$2:$D$104,3,FALSE)</f>
        <v>VE</v>
      </c>
      <c r="J333" t="str">
        <f>VLOOKUP(H333,'Dati di Supporto'!$G$2:$H$21,2,FALSE)</f>
        <v>NORD</v>
      </c>
      <c r="K333">
        <f t="shared" si="5"/>
        <v>87</v>
      </c>
      <c r="L333" t="str">
        <f>_xlfn.IFS(Vendite!F333&lt;'Dati di Supporto'!$O$3,'Dati di Supporto'!$P$2,Vendite!F333&lt;'Dati di Supporto'!$O$4,'Dati di Supporto'!$P$3,Vendite!F333&lt;'Dati di Supporto'!$O$5,'Dati di Supporto'!$P$4,Vendite!F333&lt;'Dati di Supporto'!$O$6,'Dati di Supporto'!$P$5,Vendite!F333&gt;'Dati di Supporto'!$O$6,'Dati di Supporto'!$P$6)</f>
        <v>Fascia 4 (da 1200 €  a meno di 1500 €)</v>
      </c>
      <c r="M333" t="str">
        <f>_xlfn.IFS(G333='Dati di Supporto'!$O$10,'Dati di Supporto'!$P$10,Vendite!G333='Dati di Supporto'!$O$11,'Dati di Supporto'!$P$11,Vendite!G333='Dati di Supporto'!$O$12,'Dati di Supporto'!$P$12,Vendite!G333='Dati di Supporto'!$O$13,'Dati di Supporto'!$P$13,Vendite!G333='Dati di Supporto'!$O$14,'Dati di Supporto'!$P$14)</f>
        <v>Carta di credito</v>
      </c>
    </row>
    <row r="334" spans="1:13" x14ac:dyDescent="0.3">
      <c r="A334" s="11">
        <v>333</v>
      </c>
      <c r="B334" s="6">
        <v>41791</v>
      </c>
      <c r="C334" s="1" t="s">
        <v>2</v>
      </c>
      <c r="D334" s="2" t="s">
        <v>111</v>
      </c>
      <c r="E334" s="2" t="s">
        <v>11</v>
      </c>
      <c r="F334" s="3">
        <v>1319</v>
      </c>
      <c r="G334" s="15">
        <v>1</v>
      </c>
      <c r="H334" t="str">
        <f>VLOOKUP(D334,'Dati di Supporto'!$B$2:$C$104,2,FALSE)</f>
        <v>Lazio</v>
      </c>
      <c r="I334" t="str">
        <f>VLOOKUP(D334,'Dati di Supporto'!$B$2:$D$104,3,FALSE)</f>
        <v>RM</v>
      </c>
      <c r="J334" t="str">
        <f>VLOOKUP(H334,'Dati di Supporto'!$G$2:$H$21,2,FALSE)</f>
        <v>CENTRO</v>
      </c>
      <c r="K334">
        <f t="shared" si="5"/>
        <v>84</v>
      </c>
      <c r="L334" t="str">
        <f>_xlfn.IFS(Vendite!F334&lt;'Dati di Supporto'!$O$3,'Dati di Supporto'!$P$2,Vendite!F334&lt;'Dati di Supporto'!$O$4,'Dati di Supporto'!$P$3,Vendite!F334&lt;'Dati di Supporto'!$O$5,'Dati di Supporto'!$P$4,Vendite!F334&lt;'Dati di Supporto'!$O$6,'Dati di Supporto'!$P$5,Vendite!F334&gt;'Dati di Supporto'!$O$6,'Dati di Supporto'!$P$6)</f>
        <v>Fascia 4 (da 1200 €  a meno di 1500 €)</v>
      </c>
      <c r="M334" t="str">
        <f>_xlfn.IFS(G334='Dati di Supporto'!$O$10,'Dati di Supporto'!$P$10,Vendite!G334='Dati di Supporto'!$O$11,'Dati di Supporto'!$P$11,Vendite!G334='Dati di Supporto'!$O$12,'Dati di Supporto'!$P$12,Vendite!G334='Dati di Supporto'!$O$13,'Dati di Supporto'!$P$13,Vendite!G334='Dati di Supporto'!$O$14,'Dati di Supporto'!$P$14)</f>
        <v>Contanti</v>
      </c>
    </row>
    <row r="335" spans="1:13" x14ac:dyDescent="0.3">
      <c r="A335" s="11">
        <v>334</v>
      </c>
      <c r="B335" s="6">
        <v>41684</v>
      </c>
      <c r="C335" s="1" t="s">
        <v>248</v>
      </c>
      <c r="D335" s="2" t="s">
        <v>116</v>
      </c>
      <c r="E335" s="2" t="s">
        <v>251</v>
      </c>
      <c r="F335" s="3">
        <v>1554</v>
      </c>
      <c r="G335" s="15">
        <v>4</v>
      </c>
      <c r="H335" t="str">
        <f>VLOOKUP(D335,'Dati di Supporto'!$B$2:$C$104,2,FALSE)</f>
        <v>Toscana</v>
      </c>
      <c r="I335" t="str">
        <f>VLOOKUP(D335,'Dati di Supporto'!$B$2:$D$104,3,FALSE)</f>
        <v>SI</v>
      </c>
      <c r="J335" t="str">
        <f>VLOOKUP(H335,'Dati di Supporto'!$G$2:$H$21,2,FALSE)</f>
        <v>CENTRO</v>
      </c>
      <c r="K335">
        <f t="shared" si="5"/>
        <v>80</v>
      </c>
      <c r="L335" t="str">
        <f>_xlfn.IFS(Vendite!F335&lt;'Dati di Supporto'!$O$3,'Dati di Supporto'!$P$2,Vendite!F335&lt;'Dati di Supporto'!$O$4,'Dati di Supporto'!$P$3,Vendite!F335&lt;'Dati di Supporto'!$O$5,'Dati di Supporto'!$P$4,Vendite!F335&lt;'Dati di Supporto'!$O$6,'Dati di Supporto'!$P$5,Vendite!F335&gt;'Dati di Supporto'!$O$6,'Dati di Supporto'!$P$6)</f>
        <v>Fascia 5 (da 1500 € e oltre)</v>
      </c>
      <c r="M335" t="str">
        <f>_xlfn.IFS(G335='Dati di Supporto'!$O$10,'Dati di Supporto'!$P$10,Vendite!G335='Dati di Supporto'!$O$11,'Dati di Supporto'!$P$11,Vendite!G335='Dati di Supporto'!$O$12,'Dati di Supporto'!$P$12,Vendite!G335='Dati di Supporto'!$O$13,'Dati di Supporto'!$P$13,Vendite!G335='Dati di Supporto'!$O$14,'Dati di Supporto'!$P$14)</f>
        <v>Bollettino postale</v>
      </c>
    </row>
    <row r="336" spans="1:13" x14ac:dyDescent="0.3">
      <c r="A336" s="11">
        <v>335</v>
      </c>
      <c r="B336" s="6">
        <v>41763</v>
      </c>
      <c r="C336" s="1" t="s">
        <v>3</v>
      </c>
      <c r="D336" s="2" t="s">
        <v>104</v>
      </c>
      <c r="E336" s="2" t="s">
        <v>250</v>
      </c>
      <c r="F336" s="3">
        <v>1472</v>
      </c>
      <c r="G336" s="15">
        <v>4</v>
      </c>
      <c r="H336" t="str">
        <f>VLOOKUP(D336,'Dati di Supporto'!$B$2:$C$104,2,FALSE)</f>
        <v>Friuli-Venezia Giulia</v>
      </c>
      <c r="I336" t="str">
        <f>VLOOKUP(D336,'Dati di Supporto'!$B$2:$D$104,3,FALSE)</f>
        <v>PN</v>
      </c>
      <c r="J336" t="str">
        <f>VLOOKUP(H336,'Dati di Supporto'!$G$2:$H$21,2,FALSE)</f>
        <v>NORD</v>
      </c>
      <c r="K336">
        <f t="shared" si="5"/>
        <v>87</v>
      </c>
      <c r="L336" t="str">
        <f>_xlfn.IFS(Vendite!F336&lt;'Dati di Supporto'!$O$3,'Dati di Supporto'!$P$2,Vendite!F336&lt;'Dati di Supporto'!$O$4,'Dati di Supporto'!$P$3,Vendite!F336&lt;'Dati di Supporto'!$O$5,'Dati di Supporto'!$P$4,Vendite!F336&lt;'Dati di Supporto'!$O$6,'Dati di Supporto'!$P$5,Vendite!F336&gt;'Dati di Supporto'!$O$6,'Dati di Supporto'!$P$6)</f>
        <v>Fascia 4 (da 1200 €  a meno di 1500 €)</v>
      </c>
      <c r="M336" t="str">
        <f>_xlfn.IFS(G336='Dati di Supporto'!$O$10,'Dati di Supporto'!$P$10,Vendite!G336='Dati di Supporto'!$O$11,'Dati di Supporto'!$P$11,Vendite!G336='Dati di Supporto'!$O$12,'Dati di Supporto'!$P$12,Vendite!G336='Dati di Supporto'!$O$13,'Dati di Supporto'!$P$13,Vendite!G336='Dati di Supporto'!$O$14,'Dati di Supporto'!$P$14)</f>
        <v>Bollettino postale</v>
      </c>
    </row>
    <row r="337" spans="1:13" x14ac:dyDescent="0.3">
      <c r="A337" s="11">
        <v>336</v>
      </c>
      <c r="B337" s="6">
        <v>41784</v>
      </c>
      <c r="C337" s="1" t="s">
        <v>3</v>
      </c>
      <c r="D337" s="2" t="s">
        <v>131</v>
      </c>
      <c r="E337" s="2" t="s">
        <v>11</v>
      </c>
      <c r="F337" s="3">
        <v>220</v>
      </c>
      <c r="G337" s="15">
        <v>5</v>
      </c>
      <c r="H337" t="str">
        <f>VLOOKUP(D337,'Dati di Supporto'!$B$2:$C$104,2,FALSE)</f>
        <v>Piemonte</v>
      </c>
      <c r="I337" t="str">
        <f>VLOOKUP(D337,'Dati di Supporto'!$B$2:$D$104,3,FALSE)</f>
        <v>VC</v>
      </c>
      <c r="J337" t="str">
        <f>VLOOKUP(H337,'Dati di Supporto'!$G$2:$H$21,2,FALSE)</f>
        <v>NORD</v>
      </c>
      <c r="K337">
        <f t="shared" si="5"/>
        <v>87</v>
      </c>
      <c r="L337" t="str">
        <f>_xlfn.IFS(Vendite!F337&lt;'Dati di Supporto'!$O$3,'Dati di Supporto'!$P$2,Vendite!F337&lt;'Dati di Supporto'!$O$4,'Dati di Supporto'!$P$3,Vendite!F337&lt;'Dati di Supporto'!$O$5,'Dati di Supporto'!$P$4,Vendite!F337&lt;'Dati di Supporto'!$O$6,'Dati di Supporto'!$P$5,Vendite!F337&gt;'Dati di Supporto'!$O$6,'Dati di Supporto'!$P$6)</f>
        <v>Fascia 1 (inferiore a 400 €)</v>
      </c>
      <c r="M337" t="str">
        <f>_xlfn.IFS(G337='Dati di Supporto'!$O$10,'Dati di Supporto'!$P$10,Vendite!G337='Dati di Supporto'!$O$11,'Dati di Supporto'!$P$11,Vendite!G337='Dati di Supporto'!$O$12,'Dati di Supporto'!$P$12,Vendite!G337='Dati di Supporto'!$O$13,'Dati di Supporto'!$P$13,Vendite!G337='Dati di Supporto'!$O$14,'Dati di Supporto'!$P$14)</f>
        <v>Assegno Bancario</v>
      </c>
    </row>
    <row r="338" spans="1:13" x14ac:dyDescent="0.3">
      <c r="A338" s="11">
        <v>337</v>
      </c>
      <c r="B338" s="6">
        <v>41809</v>
      </c>
      <c r="C338" s="1" t="s">
        <v>2</v>
      </c>
      <c r="D338" s="2" t="s">
        <v>98</v>
      </c>
      <c r="E338" s="2" t="s">
        <v>250</v>
      </c>
      <c r="F338" s="3">
        <v>397</v>
      </c>
      <c r="G338" s="15">
        <v>2</v>
      </c>
      <c r="H338" t="str">
        <f>VLOOKUP(D338,'Dati di Supporto'!$B$2:$C$104,2,FALSE)</f>
        <v>Umbria</v>
      </c>
      <c r="I338" t="str">
        <f>VLOOKUP(D338,'Dati di Supporto'!$B$2:$D$104,3,FALSE)</f>
        <v>PG</v>
      </c>
      <c r="J338" t="str">
        <f>VLOOKUP(H338,'Dati di Supporto'!$G$2:$H$21,2,FALSE)</f>
        <v>CENTRO</v>
      </c>
      <c r="K338">
        <f t="shared" si="5"/>
        <v>84</v>
      </c>
      <c r="L338" t="str">
        <f>_xlfn.IFS(Vendite!F338&lt;'Dati di Supporto'!$O$3,'Dati di Supporto'!$P$2,Vendite!F338&lt;'Dati di Supporto'!$O$4,'Dati di Supporto'!$P$3,Vendite!F338&lt;'Dati di Supporto'!$O$5,'Dati di Supporto'!$P$4,Vendite!F338&lt;'Dati di Supporto'!$O$6,'Dati di Supporto'!$P$5,Vendite!F338&gt;'Dati di Supporto'!$O$6,'Dati di Supporto'!$P$6)</f>
        <v>Fascia 1 (inferiore a 400 €)</v>
      </c>
      <c r="M338" t="str">
        <f>_xlfn.IFS(G338='Dati di Supporto'!$O$10,'Dati di Supporto'!$P$10,Vendite!G338='Dati di Supporto'!$O$11,'Dati di Supporto'!$P$11,Vendite!G338='Dati di Supporto'!$O$12,'Dati di Supporto'!$P$12,Vendite!G338='Dati di Supporto'!$O$13,'Dati di Supporto'!$P$13,Vendite!G338='Dati di Supporto'!$O$14,'Dati di Supporto'!$P$14)</f>
        <v>Bonifico Bancario</v>
      </c>
    </row>
    <row r="339" spans="1:13" x14ac:dyDescent="0.3">
      <c r="A339" s="11">
        <v>338</v>
      </c>
      <c r="B339" s="6">
        <v>41769</v>
      </c>
      <c r="C339" s="1" t="s">
        <v>248</v>
      </c>
      <c r="D339" s="2" t="s">
        <v>135</v>
      </c>
      <c r="E339" s="2" t="s">
        <v>250</v>
      </c>
      <c r="F339" s="3">
        <v>844</v>
      </c>
      <c r="G339" s="15">
        <v>5</v>
      </c>
      <c r="H339" t="str">
        <f>VLOOKUP(D339,'Dati di Supporto'!$B$2:$C$104,2,FALSE)</f>
        <v>Lazio</v>
      </c>
      <c r="I339" t="str">
        <f>VLOOKUP(D339,'Dati di Supporto'!$B$2:$D$104,3,FALSE)</f>
        <v>VT</v>
      </c>
      <c r="J339" t="str">
        <f>VLOOKUP(H339,'Dati di Supporto'!$G$2:$H$21,2,FALSE)</f>
        <v>CENTRO</v>
      </c>
      <c r="K339">
        <f t="shared" si="5"/>
        <v>80</v>
      </c>
      <c r="L339" t="str">
        <f>_xlfn.IFS(Vendite!F339&lt;'Dati di Supporto'!$O$3,'Dati di Supporto'!$P$2,Vendite!F339&lt;'Dati di Supporto'!$O$4,'Dati di Supporto'!$P$3,Vendite!F339&lt;'Dati di Supporto'!$O$5,'Dati di Supporto'!$P$4,Vendite!F339&lt;'Dati di Supporto'!$O$6,'Dati di Supporto'!$P$5,Vendite!F339&gt;'Dati di Supporto'!$O$6,'Dati di Supporto'!$P$6)</f>
        <v>Fascia 3 (da 800 €  a meno di 1200 €)</v>
      </c>
      <c r="M339" t="str">
        <f>_xlfn.IFS(G339='Dati di Supporto'!$O$10,'Dati di Supporto'!$P$10,Vendite!G339='Dati di Supporto'!$O$11,'Dati di Supporto'!$P$11,Vendite!G339='Dati di Supporto'!$O$12,'Dati di Supporto'!$P$12,Vendite!G339='Dati di Supporto'!$O$13,'Dati di Supporto'!$P$13,Vendite!G339='Dati di Supporto'!$O$14,'Dati di Supporto'!$P$14)</f>
        <v>Assegno Bancario</v>
      </c>
    </row>
    <row r="340" spans="1:13" x14ac:dyDescent="0.3">
      <c r="A340" s="11">
        <v>339</v>
      </c>
      <c r="B340" s="6">
        <v>41655</v>
      </c>
      <c r="C340" s="1" t="s">
        <v>2</v>
      </c>
      <c r="D340" s="2" t="s">
        <v>113</v>
      </c>
      <c r="E340" s="2" t="s">
        <v>250</v>
      </c>
      <c r="F340" s="3">
        <v>1733</v>
      </c>
      <c r="G340" s="15">
        <v>3</v>
      </c>
      <c r="H340" t="str">
        <f>VLOOKUP(D340,'Dati di Supporto'!$B$2:$C$104,2,FALSE)</f>
        <v>Campania</v>
      </c>
      <c r="I340" t="str">
        <f>VLOOKUP(D340,'Dati di Supporto'!$B$2:$D$104,3,FALSE)</f>
        <v>SA</v>
      </c>
      <c r="J340" t="str">
        <f>VLOOKUP(H340,'Dati di Supporto'!$G$2:$H$21,2,FALSE)</f>
        <v>SUD</v>
      </c>
      <c r="K340">
        <f t="shared" si="5"/>
        <v>84</v>
      </c>
      <c r="L340" t="str">
        <f>_xlfn.IFS(Vendite!F340&lt;'Dati di Supporto'!$O$3,'Dati di Supporto'!$P$2,Vendite!F340&lt;'Dati di Supporto'!$O$4,'Dati di Supporto'!$P$3,Vendite!F340&lt;'Dati di Supporto'!$O$5,'Dati di Supporto'!$P$4,Vendite!F340&lt;'Dati di Supporto'!$O$6,'Dati di Supporto'!$P$5,Vendite!F340&gt;'Dati di Supporto'!$O$6,'Dati di Supporto'!$P$6)</f>
        <v>Fascia 5 (da 1500 € e oltre)</v>
      </c>
      <c r="M340" t="str">
        <f>_xlfn.IFS(G340='Dati di Supporto'!$O$10,'Dati di Supporto'!$P$10,Vendite!G340='Dati di Supporto'!$O$11,'Dati di Supporto'!$P$11,Vendite!G340='Dati di Supporto'!$O$12,'Dati di Supporto'!$P$12,Vendite!G340='Dati di Supporto'!$O$13,'Dati di Supporto'!$P$13,Vendite!G340='Dati di Supporto'!$O$14,'Dati di Supporto'!$P$14)</f>
        <v>Carta di credito</v>
      </c>
    </row>
    <row r="341" spans="1:13" x14ac:dyDescent="0.3">
      <c r="A341" s="11">
        <v>340</v>
      </c>
      <c r="B341" s="6">
        <v>41733</v>
      </c>
      <c r="C341" s="1" t="s">
        <v>248</v>
      </c>
      <c r="D341" s="2" t="s">
        <v>120</v>
      </c>
      <c r="E341" s="2" t="s">
        <v>10</v>
      </c>
      <c r="F341" s="3">
        <v>1937</v>
      </c>
      <c r="G341" s="15">
        <v>1</v>
      </c>
      <c r="H341" t="str">
        <f>VLOOKUP(D341,'Dati di Supporto'!$B$2:$C$104,2,FALSE)</f>
        <v>Abruzzo</v>
      </c>
      <c r="I341" t="str">
        <f>VLOOKUP(D341,'Dati di Supporto'!$B$2:$D$104,3,FALSE)</f>
        <v>TE</v>
      </c>
      <c r="J341" t="str">
        <f>VLOOKUP(H341,'Dati di Supporto'!$G$2:$H$21,2,FALSE)</f>
        <v>CENTRO</v>
      </c>
      <c r="K341">
        <f t="shared" si="5"/>
        <v>80</v>
      </c>
      <c r="L341" t="str">
        <f>_xlfn.IFS(Vendite!F341&lt;'Dati di Supporto'!$O$3,'Dati di Supporto'!$P$2,Vendite!F341&lt;'Dati di Supporto'!$O$4,'Dati di Supporto'!$P$3,Vendite!F341&lt;'Dati di Supporto'!$O$5,'Dati di Supporto'!$P$4,Vendite!F341&lt;'Dati di Supporto'!$O$6,'Dati di Supporto'!$P$5,Vendite!F341&gt;'Dati di Supporto'!$O$6,'Dati di Supporto'!$P$6)</f>
        <v>Fascia 5 (da 1500 € e oltre)</v>
      </c>
      <c r="M341" t="str">
        <f>_xlfn.IFS(G341='Dati di Supporto'!$O$10,'Dati di Supporto'!$P$10,Vendite!G341='Dati di Supporto'!$O$11,'Dati di Supporto'!$P$11,Vendite!G341='Dati di Supporto'!$O$12,'Dati di Supporto'!$P$12,Vendite!G341='Dati di Supporto'!$O$13,'Dati di Supporto'!$P$13,Vendite!G341='Dati di Supporto'!$O$14,'Dati di Supporto'!$P$14)</f>
        <v>Contanti</v>
      </c>
    </row>
    <row r="342" spans="1:13" x14ac:dyDescent="0.3">
      <c r="A342" s="11">
        <v>341</v>
      </c>
      <c r="B342" s="6">
        <v>41739</v>
      </c>
      <c r="C342" s="1" t="s">
        <v>1</v>
      </c>
      <c r="D342" s="2" t="s">
        <v>105</v>
      </c>
      <c r="E342" s="2" t="s">
        <v>250</v>
      </c>
      <c r="F342" s="3">
        <v>591</v>
      </c>
      <c r="G342" s="15">
        <v>3</v>
      </c>
      <c r="H342" t="str">
        <f>VLOOKUP(D342,'Dati di Supporto'!$B$2:$C$104,2,FALSE)</f>
        <v>Basilicata</v>
      </c>
      <c r="I342" t="str">
        <f>VLOOKUP(D342,'Dati di Supporto'!$B$2:$D$104,3,FALSE)</f>
        <v>PZ</v>
      </c>
      <c r="J342" t="str">
        <f>VLOOKUP(H342,'Dati di Supporto'!$G$2:$H$21,2,FALSE)</f>
        <v>SUD</v>
      </c>
      <c r="K342">
        <f t="shared" si="5"/>
        <v>96</v>
      </c>
      <c r="L342" t="str">
        <f>_xlfn.IFS(Vendite!F342&lt;'Dati di Supporto'!$O$3,'Dati di Supporto'!$P$2,Vendite!F342&lt;'Dati di Supporto'!$O$4,'Dati di Supporto'!$P$3,Vendite!F342&lt;'Dati di Supporto'!$O$5,'Dati di Supporto'!$P$4,Vendite!F342&lt;'Dati di Supporto'!$O$6,'Dati di Supporto'!$P$5,Vendite!F342&gt;'Dati di Supporto'!$O$6,'Dati di Supporto'!$P$6)</f>
        <v>Fascia 2 (da 400 €  a meno di 800 €)</v>
      </c>
      <c r="M342" t="str">
        <f>_xlfn.IFS(G342='Dati di Supporto'!$O$10,'Dati di Supporto'!$P$10,Vendite!G342='Dati di Supporto'!$O$11,'Dati di Supporto'!$P$11,Vendite!G342='Dati di Supporto'!$O$12,'Dati di Supporto'!$P$12,Vendite!G342='Dati di Supporto'!$O$13,'Dati di Supporto'!$P$13,Vendite!G342='Dati di Supporto'!$O$14,'Dati di Supporto'!$P$14)</f>
        <v>Carta di credito</v>
      </c>
    </row>
    <row r="343" spans="1:13" x14ac:dyDescent="0.3">
      <c r="A343" s="11">
        <v>342</v>
      </c>
      <c r="B343" s="6">
        <v>41731</v>
      </c>
      <c r="C343" s="1" t="s">
        <v>247</v>
      </c>
      <c r="D343" s="2" t="s">
        <v>103</v>
      </c>
      <c r="E343" s="2" t="s">
        <v>252</v>
      </c>
      <c r="F343" s="3">
        <v>1022</v>
      </c>
      <c r="G343" s="15">
        <v>3</v>
      </c>
      <c r="H343" t="str">
        <f>VLOOKUP(D343,'Dati di Supporto'!$B$2:$C$104,2,FALSE)</f>
        <v>Toscana</v>
      </c>
      <c r="I343" t="str">
        <f>VLOOKUP(D343,'Dati di Supporto'!$B$2:$D$104,3,FALSE)</f>
        <v>PT</v>
      </c>
      <c r="J343" t="str">
        <f>VLOOKUP(H343,'Dati di Supporto'!$G$2:$H$21,2,FALSE)</f>
        <v>CENTRO</v>
      </c>
      <c r="K343">
        <f t="shared" si="5"/>
        <v>83</v>
      </c>
      <c r="L343" t="str">
        <f>_xlfn.IFS(Vendite!F343&lt;'Dati di Supporto'!$O$3,'Dati di Supporto'!$P$2,Vendite!F343&lt;'Dati di Supporto'!$O$4,'Dati di Supporto'!$P$3,Vendite!F343&lt;'Dati di Supporto'!$O$5,'Dati di Supporto'!$P$4,Vendite!F343&lt;'Dati di Supporto'!$O$6,'Dati di Supporto'!$P$5,Vendite!F343&gt;'Dati di Supporto'!$O$6,'Dati di Supporto'!$P$6)</f>
        <v>Fascia 3 (da 800 €  a meno di 1200 €)</v>
      </c>
      <c r="M343" t="str">
        <f>_xlfn.IFS(G343='Dati di Supporto'!$O$10,'Dati di Supporto'!$P$10,Vendite!G343='Dati di Supporto'!$O$11,'Dati di Supporto'!$P$11,Vendite!G343='Dati di Supporto'!$O$12,'Dati di Supporto'!$P$12,Vendite!G343='Dati di Supporto'!$O$13,'Dati di Supporto'!$P$13,Vendite!G343='Dati di Supporto'!$O$14,'Dati di Supporto'!$P$14)</f>
        <v>Carta di credito</v>
      </c>
    </row>
    <row r="344" spans="1:13" x14ac:dyDescent="0.3">
      <c r="A344" s="11">
        <v>343</v>
      </c>
      <c r="B344" s="6">
        <v>41756</v>
      </c>
      <c r="C344" s="1" t="s">
        <v>248</v>
      </c>
      <c r="D344" s="2" t="s">
        <v>128</v>
      </c>
      <c r="E344" s="2" t="s">
        <v>11</v>
      </c>
      <c r="F344" s="3">
        <v>990</v>
      </c>
      <c r="G344" s="15">
        <v>5</v>
      </c>
      <c r="H344" t="str">
        <f>VLOOKUP(D344,'Dati di Supporto'!$B$2:$C$104,2,FALSE)</f>
        <v>Lombardia</v>
      </c>
      <c r="I344" t="str">
        <f>VLOOKUP(D344,'Dati di Supporto'!$B$2:$D$104,3,FALSE)</f>
        <v>VA</v>
      </c>
      <c r="J344" t="str">
        <f>VLOOKUP(H344,'Dati di Supporto'!$G$2:$H$21,2,FALSE)</f>
        <v>NORD</v>
      </c>
      <c r="K344">
        <f t="shared" si="5"/>
        <v>80</v>
      </c>
      <c r="L344" t="str">
        <f>_xlfn.IFS(Vendite!F344&lt;'Dati di Supporto'!$O$3,'Dati di Supporto'!$P$2,Vendite!F344&lt;'Dati di Supporto'!$O$4,'Dati di Supporto'!$P$3,Vendite!F344&lt;'Dati di Supporto'!$O$5,'Dati di Supporto'!$P$4,Vendite!F344&lt;'Dati di Supporto'!$O$6,'Dati di Supporto'!$P$5,Vendite!F344&gt;'Dati di Supporto'!$O$6,'Dati di Supporto'!$P$6)</f>
        <v>Fascia 3 (da 800 €  a meno di 1200 €)</v>
      </c>
      <c r="M344" t="str">
        <f>_xlfn.IFS(G344='Dati di Supporto'!$O$10,'Dati di Supporto'!$P$10,Vendite!G344='Dati di Supporto'!$O$11,'Dati di Supporto'!$P$11,Vendite!G344='Dati di Supporto'!$O$12,'Dati di Supporto'!$P$12,Vendite!G344='Dati di Supporto'!$O$13,'Dati di Supporto'!$P$13,Vendite!G344='Dati di Supporto'!$O$14,'Dati di Supporto'!$P$14)</f>
        <v>Assegno Bancario</v>
      </c>
    </row>
    <row r="345" spans="1:13" x14ac:dyDescent="0.3">
      <c r="A345" s="11">
        <v>344</v>
      </c>
      <c r="B345" s="6">
        <v>41791</v>
      </c>
      <c r="C345" s="1" t="s">
        <v>3</v>
      </c>
      <c r="D345" s="2" t="s">
        <v>98</v>
      </c>
      <c r="E345" s="2" t="s">
        <v>251</v>
      </c>
      <c r="F345" s="3">
        <v>842</v>
      </c>
      <c r="G345" s="15">
        <v>2</v>
      </c>
      <c r="H345" t="str">
        <f>VLOOKUP(D345,'Dati di Supporto'!$B$2:$C$104,2,FALSE)</f>
        <v>Umbria</v>
      </c>
      <c r="I345" t="str">
        <f>VLOOKUP(D345,'Dati di Supporto'!$B$2:$D$104,3,FALSE)</f>
        <v>PG</v>
      </c>
      <c r="J345" t="str">
        <f>VLOOKUP(H345,'Dati di Supporto'!$G$2:$H$21,2,FALSE)</f>
        <v>CENTRO</v>
      </c>
      <c r="K345">
        <f t="shared" si="5"/>
        <v>87</v>
      </c>
      <c r="L345" t="str">
        <f>_xlfn.IFS(Vendite!F345&lt;'Dati di Supporto'!$O$3,'Dati di Supporto'!$P$2,Vendite!F345&lt;'Dati di Supporto'!$O$4,'Dati di Supporto'!$P$3,Vendite!F345&lt;'Dati di Supporto'!$O$5,'Dati di Supporto'!$P$4,Vendite!F345&lt;'Dati di Supporto'!$O$6,'Dati di Supporto'!$P$5,Vendite!F345&gt;'Dati di Supporto'!$O$6,'Dati di Supporto'!$P$6)</f>
        <v>Fascia 3 (da 800 €  a meno di 1200 €)</v>
      </c>
      <c r="M345" t="str">
        <f>_xlfn.IFS(G345='Dati di Supporto'!$O$10,'Dati di Supporto'!$P$10,Vendite!G345='Dati di Supporto'!$O$11,'Dati di Supporto'!$P$11,Vendite!G345='Dati di Supporto'!$O$12,'Dati di Supporto'!$P$12,Vendite!G345='Dati di Supporto'!$O$13,'Dati di Supporto'!$P$13,Vendite!G345='Dati di Supporto'!$O$14,'Dati di Supporto'!$P$14)</f>
        <v>Bonifico Bancario</v>
      </c>
    </row>
    <row r="346" spans="1:13" x14ac:dyDescent="0.3">
      <c r="A346" s="11">
        <v>345</v>
      </c>
      <c r="B346" s="6">
        <v>41763</v>
      </c>
      <c r="C346" s="1" t="s">
        <v>2</v>
      </c>
      <c r="D346" s="2" t="s">
        <v>130</v>
      </c>
      <c r="E346" s="2" t="s">
        <v>250</v>
      </c>
      <c r="F346" s="3">
        <v>506</v>
      </c>
      <c r="G346" s="15">
        <v>5</v>
      </c>
      <c r="H346" t="str">
        <f>VLOOKUP(D346,'Dati di Supporto'!$B$2:$C$104,2,FALSE)</f>
        <v>Piemonte</v>
      </c>
      <c r="I346" t="str">
        <f>VLOOKUP(D346,'Dati di Supporto'!$B$2:$D$104,3,FALSE)</f>
        <v>VB</v>
      </c>
      <c r="J346" t="str">
        <f>VLOOKUP(H346,'Dati di Supporto'!$G$2:$H$21,2,FALSE)</f>
        <v>NORD</v>
      </c>
      <c r="K346">
        <f t="shared" si="5"/>
        <v>84</v>
      </c>
      <c r="L346" t="str">
        <f>_xlfn.IFS(Vendite!F346&lt;'Dati di Supporto'!$O$3,'Dati di Supporto'!$P$2,Vendite!F346&lt;'Dati di Supporto'!$O$4,'Dati di Supporto'!$P$3,Vendite!F346&lt;'Dati di Supporto'!$O$5,'Dati di Supporto'!$P$4,Vendite!F346&lt;'Dati di Supporto'!$O$6,'Dati di Supporto'!$P$5,Vendite!F346&gt;'Dati di Supporto'!$O$6,'Dati di Supporto'!$P$6)</f>
        <v>Fascia 2 (da 400 €  a meno di 800 €)</v>
      </c>
      <c r="M346" t="str">
        <f>_xlfn.IFS(G346='Dati di Supporto'!$O$10,'Dati di Supporto'!$P$10,Vendite!G346='Dati di Supporto'!$O$11,'Dati di Supporto'!$P$11,Vendite!G346='Dati di Supporto'!$O$12,'Dati di Supporto'!$P$12,Vendite!G346='Dati di Supporto'!$O$13,'Dati di Supporto'!$P$13,Vendite!G346='Dati di Supporto'!$O$14,'Dati di Supporto'!$P$14)</f>
        <v>Assegno Bancario</v>
      </c>
    </row>
    <row r="347" spans="1:13" x14ac:dyDescent="0.3">
      <c r="A347" s="11">
        <v>346</v>
      </c>
      <c r="B347" s="6">
        <v>41747</v>
      </c>
      <c r="C347" s="1" t="s">
        <v>2</v>
      </c>
      <c r="D347" s="2" t="s">
        <v>98</v>
      </c>
      <c r="E347" s="2" t="s">
        <v>252</v>
      </c>
      <c r="F347" s="3">
        <v>1170</v>
      </c>
      <c r="G347" s="15">
        <v>3</v>
      </c>
      <c r="H347" t="str">
        <f>VLOOKUP(D347,'Dati di Supporto'!$B$2:$C$104,2,FALSE)</f>
        <v>Umbria</v>
      </c>
      <c r="I347" t="str">
        <f>VLOOKUP(D347,'Dati di Supporto'!$B$2:$D$104,3,FALSE)</f>
        <v>PG</v>
      </c>
      <c r="J347" t="str">
        <f>VLOOKUP(H347,'Dati di Supporto'!$G$2:$H$21,2,FALSE)</f>
        <v>CENTRO</v>
      </c>
      <c r="K347">
        <f t="shared" si="5"/>
        <v>84</v>
      </c>
      <c r="L347" t="str">
        <f>_xlfn.IFS(Vendite!F347&lt;'Dati di Supporto'!$O$3,'Dati di Supporto'!$P$2,Vendite!F347&lt;'Dati di Supporto'!$O$4,'Dati di Supporto'!$P$3,Vendite!F347&lt;'Dati di Supporto'!$O$5,'Dati di Supporto'!$P$4,Vendite!F347&lt;'Dati di Supporto'!$O$6,'Dati di Supporto'!$P$5,Vendite!F347&gt;'Dati di Supporto'!$O$6,'Dati di Supporto'!$P$6)</f>
        <v>Fascia 3 (da 800 €  a meno di 1200 €)</v>
      </c>
      <c r="M347" t="str">
        <f>_xlfn.IFS(G347='Dati di Supporto'!$O$10,'Dati di Supporto'!$P$10,Vendite!G347='Dati di Supporto'!$O$11,'Dati di Supporto'!$P$11,Vendite!G347='Dati di Supporto'!$O$12,'Dati di Supporto'!$P$12,Vendite!G347='Dati di Supporto'!$O$13,'Dati di Supporto'!$P$13,Vendite!G347='Dati di Supporto'!$O$14,'Dati di Supporto'!$P$14)</f>
        <v>Carta di credito</v>
      </c>
    </row>
    <row r="348" spans="1:13" x14ac:dyDescent="0.3">
      <c r="A348" s="11">
        <v>347</v>
      </c>
      <c r="B348" s="6">
        <v>41777</v>
      </c>
      <c r="C348" s="1" t="s">
        <v>1</v>
      </c>
      <c r="D348" s="2" t="s">
        <v>121</v>
      </c>
      <c r="E348" s="2" t="s">
        <v>251</v>
      </c>
      <c r="F348" s="3">
        <v>460</v>
      </c>
      <c r="G348" s="15">
        <v>4</v>
      </c>
      <c r="H348" t="str">
        <f>VLOOKUP(D348,'Dati di Supporto'!$B$2:$C$104,2,FALSE)</f>
        <v>Umbria</v>
      </c>
      <c r="I348" t="str">
        <f>VLOOKUP(D348,'Dati di Supporto'!$B$2:$D$104,3,FALSE)</f>
        <v>TR</v>
      </c>
      <c r="J348" t="str">
        <f>VLOOKUP(H348,'Dati di Supporto'!$G$2:$H$21,2,FALSE)</f>
        <v>CENTRO</v>
      </c>
      <c r="K348">
        <f t="shared" si="5"/>
        <v>96</v>
      </c>
      <c r="L348" t="str">
        <f>_xlfn.IFS(Vendite!F348&lt;'Dati di Supporto'!$O$3,'Dati di Supporto'!$P$2,Vendite!F348&lt;'Dati di Supporto'!$O$4,'Dati di Supporto'!$P$3,Vendite!F348&lt;'Dati di Supporto'!$O$5,'Dati di Supporto'!$P$4,Vendite!F348&lt;'Dati di Supporto'!$O$6,'Dati di Supporto'!$P$5,Vendite!F348&gt;'Dati di Supporto'!$O$6,'Dati di Supporto'!$P$6)</f>
        <v>Fascia 2 (da 400 €  a meno di 800 €)</v>
      </c>
      <c r="M348" t="str">
        <f>_xlfn.IFS(G348='Dati di Supporto'!$O$10,'Dati di Supporto'!$P$10,Vendite!G348='Dati di Supporto'!$O$11,'Dati di Supporto'!$P$11,Vendite!G348='Dati di Supporto'!$O$12,'Dati di Supporto'!$P$12,Vendite!G348='Dati di Supporto'!$O$13,'Dati di Supporto'!$P$13,Vendite!G348='Dati di Supporto'!$O$14,'Dati di Supporto'!$P$14)</f>
        <v>Bollettino postale</v>
      </c>
    </row>
    <row r="349" spans="1:13" x14ac:dyDescent="0.3">
      <c r="A349" s="11">
        <v>348</v>
      </c>
      <c r="B349" s="6">
        <v>41803</v>
      </c>
      <c r="C349" s="1" t="s">
        <v>247</v>
      </c>
      <c r="D349" s="2" t="s">
        <v>114</v>
      </c>
      <c r="E349" s="2" t="s">
        <v>251</v>
      </c>
      <c r="F349" s="3">
        <v>1321</v>
      </c>
      <c r="G349" s="15">
        <v>1</v>
      </c>
      <c r="H349" t="str">
        <f>VLOOKUP(D349,'Dati di Supporto'!$B$2:$C$104,2,FALSE)</f>
        <v>Sardegna</v>
      </c>
      <c r="I349" t="str">
        <f>VLOOKUP(D349,'Dati di Supporto'!$B$2:$D$104,3,FALSE)</f>
        <v>SS</v>
      </c>
      <c r="J349" t="str">
        <f>VLOOKUP(H349,'Dati di Supporto'!$G$2:$H$21,2,FALSE)</f>
        <v>ISOLE</v>
      </c>
      <c r="K349">
        <f t="shared" si="5"/>
        <v>83</v>
      </c>
      <c r="L349" t="str">
        <f>_xlfn.IFS(Vendite!F349&lt;'Dati di Supporto'!$O$3,'Dati di Supporto'!$P$2,Vendite!F349&lt;'Dati di Supporto'!$O$4,'Dati di Supporto'!$P$3,Vendite!F349&lt;'Dati di Supporto'!$O$5,'Dati di Supporto'!$P$4,Vendite!F349&lt;'Dati di Supporto'!$O$6,'Dati di Supporto'!$P$5,Vendite!F349&gt;'Dati di Supporto'!$O$6,'Dati di Supporto'!$P$6)</f>
        <v>Fascia 4 (da 1200 €  a meno di 1500 €)</v>
      </c>
      <c r="M349" t="str">
        <f>_xlfn.IFS(G349='Dati di Supporto'!$O$10,'Dati di Supporto'!$P$10,Vendite!G349='Dati di Supporto'!$O$11,'Dati di Supporto'!$P$11,Vendite!G349='Dati di Supporto'!$O$12,'Dati di Supporto'!$P$12,Vendite!G349='Dati di Supporto'!$O$13,'Dati di Supporto'!$P$13,Vendite!G349='Dati di Supporto'!$O$14,'Dati di Supporto'!$P$14)</f>
        <v>Contanti</v>
      </c>
    </row>
    <row r="350" spans="1:13" x14ac:dyDescent="0.3">
      <c r="A350" s="11">
        <v>349</v>
      </c>
      <c r="B350" s="6">
        <v>41756</v>
      </c>
      <c r="C350" s="1" t="s">
        <v>2</v>
      </c>
      <c r="D350" s="2" t="s">
        <v>107</v>
      </c>
      <c r="E350" s="2" t="s">
        <v>252</v>
      </c>
      <c r="F350" s="3">
        <v>166</v>
      </c>
      <c r="G350" s="15">
        <v>5</v>
      </c>
      <c r="H350" t="str">
        <f>VLOOKUP(D350,'Dati di Supporto'!$B$2:$C$104,2,FALSE)</f>
        <v>Sicilia</v>
      </c>
      <c r="I350" t="str">
        <f>VLOOKUP(D350,'Dati di Supporto'!$B$2:$D$104,3,FALSE)</f>
        <v>RG</v>
      </c>
      <c r="J350" t="str">
        <f>VLOOKUP(H350,'Dati di Supporto'!$G$2:$H$21,2,FALSE)</f>
        <v>ISOLE</v>
      </c>
      <c r="K350">
        <f t="shared" si="5"/>
        <v>84</v>
      </c>
      <c r="L350" t="str">
        <f>_xlfn.IFS(Vendite!F350&lt;'Dati di Supporto'!$O$3,'Dati di Supporto'!$P$2,Vendite!F350&lt;'Dati di Supporto'!$O$4,'Dati di Supporto'!$P$3,Vendite!F350&lt;'Dati di Supporto'!$O$5,'Dati di Supporto'!$P$4,Vendite!F350&lt;'Dati di Supporto'!$O$6,'Dati di Supporto'!$P$5,Vendite!F350&gt;'Dati di Supporto'!$O$6,'Dati di Supporto'!$P$6)</f>
        <v>Fascia 1 (inferiore a 400 €)</v>
      </c>
      <c r="M350" t="str">
        <f>_xlfn.IFS(G350='Dati di Supporto'!$O$10,'Dati di Supporto'!$P$10,Vendite!G350='Dati di Supporto'!$O$11,'Dati di Supporto'!$P$11,Vendite!G350='Dati di Supporto'!$O$12,'Dati di Supporto'!$P$12,Vendite!G350='Dati di Supporto'!$O$13,'Dati di Supporto'!$P$13,Vendite!G350='Dati di Supporto'!$O$14,'Dati di Supporto'!$P$14)</f>
        <v>Assegno Bancario</v>
      </c>
    </row>
    <row r="351" spans="1:13" x14ac:dyDescent="0.3">
      <c r="A351" s="11">
        <v>350</v>
      </c>
      <c r="B351" s="6">
        <v>41771</v>
      </c>
      <c r="C351" s="1" t="s">
        <v>8</v>
      </c>
      <c r="D351" s="2" t="s">
        <v>135</v>
      </c>
      <c r="E351" s="2" t="s">
        <v>252</v>
      </c>
      <c r="F351" s="3">
        <v>1115</v>
      </c>
      <c r="G351" s="15">
        <v>1</v>
      </c>
      <c r="H351" t="str">
        <f>VLOOKUP(D351,'Dati di Supporto'!$B$2:$C$104,2,FALSE)</f>
        <v>Lazio</v>
      </c>
      <c r="I351" t="str">
        <f>VLOOKUP(D351,'Dati di Supporto'!$B$2:$D$104,3,FALSE)</f>
        <v>VT</v>
      </c>
      <c r="J351" t="str">
        <f>VLOOKUP(H351,'Dati di Supporto'!$G$2:$H$21,2,FALSE)</f>
        <v>CENTRO</v>
      </c>
      <c r="K351">
        <f t="shared" si="5"/>
        <v>70</v>
      </c>
      <c r="L351" t="str">
        <f>_xlfn.IFS(Vendite!F351&lt;'Dati di Supporto'!$O$3,'Dati di Supporto'!$P$2,Vendite!F351&lt;'Dati di Supporto'!$O$4,'Dati di Supporto'!$P$3,Vendite!F351&lt;'Dati di Supporto'!$O$5,'Dati di Supporto'!$P$4,Vendite!F351&lt;'Dati di Supporto'!$O$6,'Dati di Supporto'!$P$5,Vendite!F351&gt;'Dati di Supporto'!$O$6,'Dati di Supporto'!$P$6)</f>
        <v>Fascia 3 (da 800 €  a meno di 1200 €)</v>
      </c>
      <c r="M351" t="str">
        <f>_xlfn.IFS(G351='Dati di Supporto'!$O$10,'Dati di Supporto'!$P$10,Vendite!G351='Dati di Supporto'!$O$11,'Dati di Supporto'!$P$11,Vendite!G351='Dati di Supporto'!$O$12,'Dati di Supporto'!$P$12,Vendite!G351='Dati di Supporto'!$O$13,'Dati di Supporto'!$P$13,Vendite!G351='Dati di Supporto'!$O$14,'Dati di Supporto'!$P$14)</f>
        <v>Contanti</v>
      </c>
    </row>
    <row r="352" spans="1:13" x14ac:dyDescent="0.3">
      <c r="A352" s="11">
        <v>351</v>
      </c>
      <c r="B352" s="6">
        <v>41696</v>
      </c>
      <c r="C352" s="1" t="s">
        <v>3</v>
      </c>
      <c r="D352" s="2" t="s">
        <v>98</v>
      </c>
      <c r="E352" s="2" t="s">
        <v>252</v>
      </c>
      <c r="F352" s="3">
        <v>1919</v>
      </c>
      <c r="G352" s="15">
        <v>2</v>
      </c>
      <c r="H352" t="str">
        <f>VLOOKUP(D352,'Dati di Supporto'!$B$2:$C$104,2,FALSE)</f>
        <v>Umbria</v>
      </c>
      <c r="I352" t="str">
        <f>VLOOKUP(D352,'Dati di Supporto'!$B$2:$D$104,3,FALSE)</f>
        <v>PG</v>
      </c>
      <c r="J352" t="str">
        <f>VLOOKUP(H352,'Dati di Supporto'!$G$2:$H$21,2,FALSE)</f>
        <v>CENTRO</v>
      </c>
      <c r="K352">
        <f t="shared" si="5"/>
        <v>87</v>
      </c>
      <c r="L352" t="str">
        <f>_xlfn.IFS(Vendite!F352&lt;'Dati di Supporto'!$O$3,'Dati di Supporto'!$P$2,Vendite!F352&lt;'Dati di Supporto'!$O$4,'Dati di Supporto'!$P$3,Vendite!F352&lt;'Dati di Supporto'!$O$5,'Dati di Supporto'!$P$4,Vendite!F352&lt;'Dati di Supporto'!$O$6,'Dati di Supporto'!$P$5,Vendite!F352&gt;'Dati di Supporto'!$O$6,'Dati di Supporto'!$P$6)</f>
        <v>Fascia 5 (da 1500 € e oltre)</v>
      </c>
      <c r="M352" t="str">
        <f>_xlfn.IFS(G352='Dati di Supporto'!$O$10,'Dati di Supporto'!$P$10,Vendite!G352='Dati di Supporto'!$O$11,'Dati di Supporto'!$P$11,Vendite!G352='Dati di Supporto'!$O$12,'Dati di Supporto'!$P$12,Vendite!G352='Dati di Supporto'!$O$13,'Dati di Supporto'!$P$13,Vendite!G352='Dati di Supporto'!$O$14,'Dati di Supporto'!$P$14)</f>
        <v>Bonifico Bancario</v>
      </c>
    </row>
    <row r="353" spans="1:13" x14ac:dyDescent="0.3">
      <c r="A353" s="11">
        <v>352</v>
      </c>
      <c r="B353" s="6">
        <v>41809</v>
      </c>
      <c r="C353" s="1" t="s">
        <v>1</v>
      </c>
      <c r="D353" s="2" t="s">
        <v>112</v>
      </c>
      <c r="E353" s="2" t="s">
        <v>252</v>
      </c>
      <c r="F353" s="3">
        <v>1514</v>
      </c>
      <c r="G353" s="15">
        <v>3</v>
      </c>
      <c r="H353" t="str">
        <f>VLOOKUP(D353,'Dati di Supporto'!$B$2:$C$104,2,FALSE)</f>
        <v>Veneto</v>
      </c>
      <c r="I353" t="str">
        <f>VLOOKUP(D353,'Dati di Supporto'!$B$2:$D$104,3,FALSE)</f>
        <v>RO</v>
      </c>
      <c r="J353" t="str">
        <f>VLOOKUP(H353,'Dati di Supporto'!$G$2:$H$21,2,FALSE)</f>
        <v>NORD</v>
      </c>
      <c r="K353">
        <f t="shared" si="5"/>
        <v>96</v>
      </c>
      <c r="L353" t="str">
        <f>_xlfn.IFS(Vendite!F353&lt;'Dati di Supporto'!$O$3,'Dati di Supporto'!$P$2,Vendite!F353&lt;'Dati di Supporto'!$O$4,'Dati di Supporto'!$P$3,Vendite!F353&lt;'Dati di Supporto'!$O$5,'Dati di Supporto'!$P$4,Vendite!F353&lt;'Dati di Supporto'!$O$6,'Dati di Supporto'!$P$5,Vendite!F353&gt;'Dati di Supporto'!$O$6,'Dati di Supporto'!$P$6)</f>
        <v>Fascia 5 (da 1500 € e oltre)</v>
      </c>
      <c r="M353" t="str">
        <f>_xlfn.IFS(G353='Dati di Supporto'!$O$10,'Dati di Supporto'!$P$10,Vendite!G353='Dati di Supporto'!$O$11,'Dati di Supporto'!$P$11,Vendite!G353='Dati di Supporto'!$O$12,'Dati di Supporto'!$P$12,Vendite!G353='Dati di Supporto'!$O$13,'Dati di Supporto'!$P$13,Vendite!G353='Dati di Supporto'!$O$14,'Dati di Supporto'!$P$14)</f>
        <v>Carta di credito</v>
      </c>
    </row>
    <row r="354" spans="1:13" x14ac:dyDescent="0.3">
      <c r="A354" s="11">
        <v>353</v>
      </c>
      <c r="B354" s="6">
        <v>41783</v>
      </c>
      <c r="C354" s="1" t="s">
        <v>2</v>
      </c>
      <c r="D354" s="2" t="s">
        <v>112</v>
      </c>
      <c r="E354" s="2" t="s">
        <v>11</v>
      </c>
      <c r="F354" s="3">
        <v>3</v>
      </c>
      <c r="G354" s="15">
        <v>2</v>
      </c>
      <c r="H354" t="str">
        <f>VLOOKUP(D354,'Dati di Supporto'!$B$2:$C$104,2,FALSE)</f>
        <v>Veneto</v>
      </c>
      <c r="I354" t="str">
        <f>VLOOKUP(D354,'Dati di Supporto'!$B$2:$D$104,3,FALSE)</f>
        <v>RO</v>
      </c>
      <c r="J354" t="str">
        <f>VLOOKUP(H354,'Dati di Supporto'!$G$2:$H$21,2,FALSE)</f>
        <v>NORD</v>
      </c>
      <c r="K354">
        <f t="shared" si="5"/>
        <v>84</v>
      </c>
      <c r="L354" t="str">
        <f>_xlfn.IFS(Vendite!F354&lt;'Dati di Supporto'!$O$3,'Dati di Supporto'!$P$2,Vendite!F354&lt;'Dati di Supporto'!$O$4,'Dati di Supporto'!$P$3,Vendite!F354&lt;'Dati di Supporto'!$O$5,'Dati di Supporto'!$P$4,Vendite!F354&lt;'Dati di Supporto'!$O$6,'Dati di Supporto'!$P$5,Vendite!F354&gt;'Dati di Supporto'!$O$6,'Dati di Supporto'!$P$6)</f>
        <v>Fascia 1 (inferiore a 400 €)</v>
      </c>
      <c r="M354" t="str">
        <f>_xlfn.IFS(G354='Dati di Supporto'!$O$10,'Dati di Supporto'!$P$10,Vendite!G354='Dati di Supporto'!$O$11,'Dati di Supporto'!$P$11,Vendite!G354='Dati di Supporto'!$O$12,'Dati di Supporto'!$P$12,Vendite!G354='Dati di Supporto'!$O$13,'Dati di Supporto'!$P$13,Vendite!G354='Dati di Supporto'!$O$14,'Dati di Supporto'!$P$14)</f>
        <v>Bonifico Bancario</v>
      </c>
    </row>
    <row r="355" spans="1:13" x14ac:dyDescent="0.3">
      <c r="A355" s="11">
        <v>354</v>
      </c>
      <c r="B355" s="6">
        <v>41760</v>
      </c>
      <c r="C355" s="1" t="s">
        <v>3</v>
      </c>
      <c r="D355" s="2" t="s">
        <v>118</v>
      </c>
      <c r="E355" s="2" t="s">
        <v>250</v>
      </c>
      <c r="F355" s="3">
        <v>445</v>
      </c>
      <c r="G355" s="15">
        <v>2</v>
      </c>
      <c r="H355" t="str">
        <f>VLOOKUP(D355,'Dati di Supporto'!$B$2:$C$104,2,FALSE)</f>
        <v>Lombardia</v>
      </c>
      <c r="I355" t="str">
        <f>VLOOKUP(D355,'Dati di Supporto'!$B$2:$D$104,3,FALSE)</f>
        <v>SO</v>
      </c>
      <c r="J355" t="str">
        <f>VLOOKUP(H355,'Dati di Supporto'!$G$2:$H$21,2,FALSE)</f>
        <v>NORD</v>
      </c>
      <c r="K355">
        <f t="shared" si="5"/>
        <v>87</v>
      </c>
      <c r="L355" t="str">
        <f>_xlfn.IFS(Vendite!F355&lt;'Dati di Supporto'!$O$3,'Dati di Supporto'!$P$2,Vendite!F355&lt;'Dati di Supporto'!$O$4,'Dati di Supporto'!$P$3,Vendite!F355&lt;'Dati di Supporto'!$O$5,'Dati di Supporto'!$P$4,Vendite!F355&lt;'Dati di Supporto'!$O$6,'Dati di Supporto'!$P$5,Vendite!F355&gt;'Dati di Supporto'!$O$6,'Dati di Supporto'!$P$6)</f>
        <v>Fascia 2 (da 400 €  a meno di 800 €)</v>
      </c>
      <c r="M355" t="str">
        <f>_xlfn.IFS(G355='Dati di Supporto'!$O$10,'Dati di Supporto'!$P$10,Vendite!G355='Dati di Supporto'!$O$11,'Dati di Supporto'!$P$11,Vendite!G355='Dati di Supporto'!$O$12,'Dati di Supporto'!$P$12,Vendite!G355='Dati di Supporto'!$O$13,'Dati di Supporto'!$P$13,Vendite!G355='Dati di Supporto'!$O$14,'Dati di Supporto'!$P$14)</f>
        <v>Bonifico Bancario</v>
      </c>
    </row>
    <row r="356" spans="1:13" x14ac:dyDescent="0.3">
      <c r="A356" s="11">
        <v>355</v>
      </c>
      <c r="B356" s="6">
        <v>41695</v>
      </c>
      <c r="C356" s="1" t="s">
        <v>1</v>
      </c>
      <c r="D356" s="2" t="s">
        <v>123</v>
      </c>
      <c r="E356" s="2" t="s">
        <v>251</v>
      </c>
      <c r="F356" s="3">
        <v>1028</v>
      </c>
      <c r="G356" s="15">
        <v>4</v>
      </c>
      <c r="H356" t="str">
        <f>VLOOKUP(D356,'Dati di Supporto'!$B$2:$C$104,2,FALSE)</f>
        <v>Sicilia</v>
      </c>
      <c r="I356" t="str">
        <f>VLOOKUP(D356,'Dati di Supporto'!$B$2:$D$104,3,FALSE)</f>
        <v>TP</v>
      </c>
      <c r="J356" t="str">
        <f>VLOOKUP(H356,'Dati di Supporto'!$G$2:$H$21,2,FALSE)</f>
        <v>ISOLE</v>
      </c>
      <c r="K356">
        <f t="shared" si="5"/>
        <v>96</v>
      </c>
      <c r="L356" t="str">
        <f>_xlfn.IFS(Vendite!F356&lt;'Dati di Supporto'!$O$3,'Dati di Supporto'!$P$2,Vendite!F356&lt;'Dati di Supporto'!$O$4,'Dati di Supporto'!$P$3,Vendite!F356&lt;'Dati di Supporto'!$O$5,'Dati di Supporto'!$P$4,Vendite!F356&lt;'Dati di Supporto'!$O$6,'Dati di Supporto'!$P$5,Vendite!F356&gt;'Dati di Supporto'!$O$6,'Dati di Supporto'!$P$6)</f>
        <v>Fascia 3 (da 800 €  a meno di 1200 €)</v>
      </c>
      <c r="M356" t="str">
        <f>_xlfn.IFS(G356='Dati di Supporto'!$O$10,'Dati di Supporto'!$P$10,Vendite!G356='Dati di Supporto'!$O$11,'Dati di Supporto'!$P$11,Vendite!G356='Dati di Supporto'!$O$12,'Dati di Supporto'!$P$12,Vendite!G356='Dati di Supporto'!$O$13,'Dati di Supporto'!$P$13,Vendite!G356='Dati di Supporto'!$O$14,'Dati di Supporto'!$P$14)</f>
        <v>Bollettino postale</v>
      </c>
    </row>
    <row r="357" spans="1:13" x14ac:dyDescent="0.3">
      <c r="A357" s="11">
        <v>356</v>
      </c>
      <c r="B357" s="6">
        <v>41755</v>
      </c>
      <c r="C357" s="1" t="s">
        <v>247</v>
      </c>
      <c r="D357" s="2" t="s">
        <v>99</v>
      </c>
      <c r="E357" s="2" t="s">
        <v>11</v>
      </c>
      <c r="F357" s="3">
        <v>893</v>
      </c>
      <c r="G357" s="15">
        <v>4</v>
      </c>
      <c r="H357" t="str">
        <f>VLOOKUP(D357,'Dati di Supporto'!$B$2:$C$104,2,FALSE)</f>
        <v>Marche</v>
      </c>
      <c r="I357" t="str">
        <f>VLOOKUP(D357,'Dati di Supporto'!$B$2:$D$104,3,FALSE)</f>
        <v>PS</v>
      </c>
      <c r="J357" t="str">
        <f>VLOOKUP(H357,'Dati di Supporto'!$G$2:$H$21,2,FALSE)</f>
        <v>CENTRO</v>
      </c>
      <c r="K357">
        <f t="shared" si="5"/>
        <v>83</v>
      </c>
      <c r="L357" t="str">
        <f>_xlfn.IFS(Vendite!F357&lt;'Dati di Supporto'!$O$3,'Dati di Supporto'!$P$2,Vendite!F357&lt;'Dati di Supporto'!$O$4,'Dati di Supporto'!$P$3,Vendite!F357&lt;'Dati di Supporto'!$O$5,'Dati di Supporto'!$P$4,Vendite!F357&lt;'Dati di Supporto'!$O$6,'Dati di Supporto'!$P$5,Vendite!F357&gt;'Dati di Supporto'!$O$6,'Dati di Supporto'!$P$6)</f>
        <v>Fascia 3 (da 800 €  a meno di 1200 €)</v>
      </c>
      <c r="M357" t="str">
        <f>_xlfn.IFS(G357='Dati di Supporto'!$O$10,'Dati di Supporto'!$P$10,Vendite!G357='Dati di Supporto'!$O$11,'Dati di Supporto'!$P$11,Vendite!G357='Dati di Supporto'!$O$12,'Dati di Supporto'!$P$12,Vendite!G357='Dati di Supporto'!$O$13,'Dati di Supporto'!$P$13,Vendite!G357='Dati di Supporto'!$O$14,'Dati di Supporto'!$P$14)</f>
        <v>Bollettino postale</v>
      </c>
    </row>
    <row r="358" spans="1:13" x14ac:dyDescent="0.3">
      <c r="A358" s="11">
        <v>357</v>
      </c>
      <c r="B358" s="6">
        <v>41762</v>
      </c>
      <c r="C358" s="1" t="s">
        <v>8</v>
      </c>
      <c r="D358" s="2" t="s">
        <v>112</v>
      </c>
      <c r="E358" s="2" t="s">
        <v>11</v>
      </c>
      <c r="F358" s="3">
        <v>1421</v>
      </c>
      <c r="G358" s="15">
        <v>1</v>
      </c>
      <c r="H358" t="str">
        <f>VLOOKUP(D358,'Dati di Supporto'!$B$2:$C$104,2,FALSE)</f>
        <v>Veneto</v>
      </c>
      <c r="I358" t="str">
        <f>VLOOKUP(D358,'Dati di Supporto'!$B$2:$D$104,3,FALSE)</f>
        <v>RO</v>
      </c>
      <c r="J358" t="str">
        <f>VLOOKUP(H358,'Dati di Supporto'!$G$2:$H$21,2,FALSE)</f>
        <v>NORD</v>
      </c>
      <c r="K358">
        <f t="shared" si="5"/>
        <v>70</v>
      </c>
      <c r="L358" t="str">
        <f>_xlfn.IFS(Vendite!F358&lt;'Dati di Supporto'!$O$3,'Dati di Supporto'!$P$2,Vendite!F358&lt;'Dati di Supporto'!$O$4,'Dati di Supporto'!$P$3,Vendite!F358&lt;'Dati di Supporto'!$O$5,'Dati di Supporto'!$P$4,Vendite!F358&lt;'Dati di Supporto'!$O$6,'Dati di Supporto'!$P$5,Vendite!F358&gt;'Dati di Supporto'!$O$6,'Dati di Supporto'!$P$6)</f>
        <v>Fascia 4 (da 1200 €  a meno di 1500 €)</v>
      </c>
      <c r="M358" t="str">
        <f>_xlfn.IFS(G358='Dati di Supporto'!$O$10,'Dati di Supporto'!$P$10,Vendite!G358='Dati di Supporto'!$O$11,'Dati di Supporto'!$P$11,Vendite!G358='Dati di Supporto'!$O$12,'Dati di Supporto'!$P$12,Vendite!G358='Dati di Supporto'!$O$13,'Dati di Supporto'!$P$13,Vendite!G358='Dati di Supporto'!$O$14,'Dati di Supporto'!$P$14)</f>
        <v>Contanti</v>
      </c>
    </row>
    <row r="359" spans="1:13" x14ac:dyDescent="0.3">
      <c r="A359" s="11">
        <v>358</v>
      </c>
      <c r="B359" s="6">
        <v>41800</v>
      </c>
      <c r="C359" s="1" t="s">
        <v>1</v>
      </c>
      <c r="D359" s="2" t="s">
        <v>118</v>
      </c>
      <c r="E359" s="2" t="s">
        <v>250</v>
      </c>
      <c r="F359" s="3">
        <v>1941</v>
      </c>
      <c r="G359" s="15">
        <v>2</v>
      </c>
      <c r="H359" t="str">
        <f>VLOOKUP(D359,'Dati di Supporto'!$B$2:$C$104,2,FALSE)</f>
        <v>Lombardia</v>
      </c>
      <c r="I359" t="str">
        <f>VLOOKUP(D359,'Dati di Supporto'!$B$2:$D$104,3,FALSE)</f>
        <v>SO</v>
      </c>
      <c r="J359" t="str">
        <f>VLOOKUP(H359,'Dati di Supporto'!$G$2:$H$21,2,FALSE)</f>
        <v>NORD</v>
      </c>
      <c r="K359">
        <f t="shared" si="5"/>
        <v>96</v>
      </c>
      <c r="L359" t="str">
        <f>_xlfn.IFS(Vendite!F359&lt;'Dati di Supporto'!$O$3,'Dati di Supporto'!$P$2,Vendite!F359&lt;'Dati di Supporto'!$O$4,'Dati di Supporto'!$P$3,Vendite!F359&lt;'Dati di Supporto'!$O$5,'Dati di Supporto'!$P$4,Vendite!F359&lt;'Dati di Supporto'!$O$6,'Dati di Supporto'!$P$5,Vendite!F359&gt;'Dati di Supporto'!$O$6,'Dati di Supporto'!$P$6)</f>
        <v>Fascia 5 (da 1500 € e oltre)</v>
      </c>
      <c r="M359" t="str">
        <f>_xlfn.IFS(G359='Dati di Supporto'!$O$10,'Dati di Supporto'!$P$10,Vendite!G359='Dati di Supporto'!$O$11,'Dati di Supporto'!$P$11,Vendite!G359='Dati di Supporto'!$O$12,'Dati di Supporto'!$P$12,Vendite!G359='Dati di Supporto'!$O$13,'Dati di Supporto'!$P$13,Vendite!G359='Dati di Supporto'!$O$14,'Dati di Supporto'!$P$14)</f>
        <v>Bonifico Bancario</v>
      </c>
    </row>
    <row r="360" spans="1:13" x14ac:dyDescent="0.3">
      <c r="A360" s="11">
        <v>359</v>
      </c>
      <c r="B360" s="6">
        <v>41674</v>
      </c>
      <c r="C360" s="1" t="s">
        <v>247</v>
      </c>
      <c r="D360" s="2" t="s">
        <v>115</v>
      </c>
      <c r="E360" s="2" t="s">
        <v>11</v>
      </c>
      <c r="F360" s="3">
        <v>1537</v>
      </c>
      <c r="G360" s="15">
        <v>5</v>
      </c>
      <c r="H360" t="str">
        <f>VLOOKUP(D360,'Dati di Supporto'!$B$2:$C$104,2,FALSE)</f>
        <v>Liguria</v>
      </c>
      <c r="I360" t="str">
        <f>VLOOKUP(D360,'Dati di Supporto'!$B$2:$D$104,3,FALSE)</f>
        <v>SV</v>
      </c>
      <c r="J360" t="str">
        <f>VLOOKUP(H360,'Dati di Supporto'!$G$2:$H$21,2,FALSE)</f>
        <v>NORD</v>
      </c>
      <c r="K360">
        <f t="shared" si="5"/>
        <v>83</v>
      </c>
      <c r="L360" t="str">
        <f>_xlfn.IFS(Vendite!F360&lt;'Dati di Supporto'!$O$3,'Dati di Supporto'!$P$2,Vendite!F360&lt;'Dati di Supporto'!$O$4,'Dati di Supporto'!$P$3,Vendite!F360&lt;'Dati di Supporto'!$O$5,'Dati di Supporto'!$P$4,Vendite!F360&lt;'Dati di Supporto'!$O$6,'Dati di Supporto'!$P$5,Vendite!F360&gt;'Dati di Supporto'!$O$6,'Dati di Supporto'!$P$6)</f>
        <v>Fascia 5 (da 1500 € e oltre)</v>
      </c>
      <c r="M360" t="str">
        <f>_xlfn.IFS(G360='Dati di Supporto'!$O$10,'Dati di Supporto'!$P$10,Vendite!G360='Dati di Supporto'!$O$11,'Dati di Supporto'!$P$11,Vendite!G360='Dati di Supporto'!$O$12,'Dati di Supporto'!$P$12,Vendite!G360='Dati di Supporto'!$O$13,'Dati di Supporto'!$P$13,Vendite!G360='Dati di Supporto'!$O$14,'Dati di Supporto'!$P$14)</f>
        <v>Assegno Bancario</v>
      </c>
    </row>
    <row r="361" spans="1:13" x14ac:dyDescent="0.3">
      <c r="A361" s="11">
        <v>360</v>
      </c>
      <c r="B361" s="6">
        <v>41669</v>
      </c>
      <c r="C361" s="1" t="s">
        <v>2</v>
      </c>
      <c r="D361" s="2" t="s">
        <v>99</v>
      </c>
      <c r="E361" s="2" t="s">
        <v>10</v>
      </c>
      <c r="F361" s="3">
        <v>1957</v>
      </c>
      <c r="G361" s="15">
        <v>3</v>
      </c>
      <c r="H361" t="str">
        <f>VLOOKUP(D361,'Dati di Supporto'!$B$2:$C$104,2,FALSE)</f>
        <v>Marche</v>
      </c>
      <c r="I361" t="str">
        <f>VLOOKUP(D361,'Dati di Supporto'!$B$2:$D$104,3,FALSE)</f>
        <v>PS</v>
      </c>
      <c r="J361" t="str">
        <f>VLOOKUP(H361,'Dati di Supporto'!$G$2:$H$21,2,FALSE)</f>
        <v>CENTRO</v>
      </c>
      <c r="K361">
        <f t="shared" si="5"/>
        <v>84</v>
      </c>
      <c r="L361" t="str">
        <f>_xlfn.IFS(Vendite!F361&lt;'Dati di Supporto'!$O$3,'Dati di Supporto'!$P$2,Vendite!F361&lt;'Dati di Supporto'!$O$4,'Dati di Supporto'!$P$3,Vendite!F361&lt;'Dati di Supporto'!$O$5,'Dati di Supporto'!$P$4,Vendite!F361&lt;'Dati di Supporto'!$O$6,'Dati di Supporto'!$P$5,Vendite!F361&gt;'Dati di Supporto'!$O$6,'Dati di Supporto'!$P$6)</f>
        <v>Fascia 5 (da 1500 € e oltre)</v>
      </c>
      <c r="M361" t="str">
        <f>_xlfn.IFS(G361='Dati di Supporto'!$O$10,'Dati di Supporto'!$P$10,Vendite!G361='Dati di Supporto'!$O$11,'Dati di Supporto'!$P$11,Vendite!G361='Dati di Supporto'!$O$12,'Dati di Supporto'!$P$12,Vendite!G361='Dati di Supporto'!$O$13,'Dati di Supporto'!$P$13,Vendite!G361='Dati di Supporto'!$O$14,'Dati di Supporto'!$P$14)</f>
        <v>Carta di credito</v>
      </c>
    </row>
    <row r="362" spans="1:13" x14ac:dyDescent="0.3">
      <c r="A362" s="11">
        <v>361</v>
      </c>
      <c r="B362" s="6">
        <v>41788</v>
      </c>
      <c r="C362" s="1" t="s">
        <v>8</v>
      </c>
      <c r="D362" s="2" t="s">
        <v>99</v>
      </c>
      <c r="E362" s="2" t="s">
        <v>10</v>
      </c>
      <c r="F362" s="3">
        <v>307</v>
      </c>
      <c r="G362" s="15">
        <v>3</v>
      </c>
      <c r="H362" t="str">
        <f>VLOOKUP(D362,'Dati di Supporto'!$B$2:$C$104,2,FALSE)</f>
        <v>Marche</v>
      </c>
      <c r="I362" t="str">
        <f>VLOOKUP(D362,'Dati di Supporto'!$B$2:$D$104,3,FALSE)</f>
        <v>PS</v>
      </c>
      <c r="J362" t="str">
        <f>VLOOKUP(H362,'Dati di Supporto'!$G$2:$H$21,2,FALSE)</f>
        <v>CENTRO</v>
      </c>
      <c r="K362">
        <f t="shared" si="5"/>
        <v>70</v>
      </c>
      <c r="L362" t="str">
        <f>_xlfn.IFS(Vendite!F362&lt;'Dati di Supporto'!$O$3,'Dati di Supporto'!$P$2,Vendite!F362&lt;'Dati di Supporto'!$O$4,'Dati di Supporto'!$P$3,Vendite!F362&lt;'Dati di Supporto'!$O$5,'Dati di Supporto'!$P$4,Vendite!F362&lt;'Dati di Supporto'!$O$6,'Dati di Supporto'!$P$5,Vendite!F362&gt;'Dati di Supporto'!$O$6,'Dati di Supporto'!$P$6)</f>
        <v>Fascia 1 (inferiore a 400 €)</v>
      </c>
      <c r="M362" t="str">
        <f>_xlfn.IFS(G362='Dati di Supporto'!$O$10,'Dati di Supporto'!$P$10,Vendite!G362='Dati di Supporto'!$O$11,'Dati di Supporto'!$P$11,Vendite!G362='Dati di Supporto'!$O$12,'Dati di Supporto'!$P$12,Vendite!G362='Dati di Supporto'!$O$13,'Dati di Supporto'!$P$13,Vendite!G362='Dati di Supporto'!$O$14,'Dati di Supporto'!$P$14)</f>
        <v>Carta di credito</v>
      </c>
    </row>
    <row r="363" spans="1:13" x14ac:dyDescent="0.3">
      <c r="A363" s="11">
        <v>362</v>
      </c>
      <c r="B363" s="6">
        <v>41746</v>
      </c>
      <c r="C363" s="1" t="s">
        <v>248</v>
      </c>
      <c r="D363" s="2" t="s">
        <v>117</v>
      </c>
      <c r="E363" s="2" t="s">
        <v>11</v>
      </c>
      <c r="F363" s="3">
        <v>1128</v>
      </c>
      <c r="G363" s="15">
        <v>3</v>
      </c>
      <c r="H363" t="str">
        <f>VLOOKUP(D363,'Dati di Supporto'!$B$2:$C$104,2,FALSE)</f>
        <v>Sicilia</v>
      </c>
      <c r="I363" t="str">
        <f>VLOOKUP(D363,'Dati di Supporto'!$B$2:$D$104,3,FALSE)</f>
        <v>SR</v>
      </c>
      <c r="J363" t="str">
        <f>VLOOKUP(H363,'Dati di Supporto'!$G$2:$H$21,2,FALSE)</f>
        <v>ISOLE</v>
      </c>
      <c r="K363">
        <f t="shared" si="5"/>
        <v>80</v>
      </c>
      <c r="L363" t="str">
        <f>_xlfn.IFS(Vendite!F363&lt;'Dati di Supporto'!$O$3,'Dati di Supporto'!$P$2,Vendite!F363&lt;'Dati di Supporto'!$O$4,'Dati di Supporto'!$P$3,Vendite!F363&lt;'Dati di Supporto'!$O$5,'Dati di Supporto'!$P$4,Vendite!F363&lt;'Dati di Supporto'!$O$6,'Dati di Supporto'!$P$5,Vendite!F363&gt;'Dati di Supporto'!$O$6,'Dati di Supporto'!$P$6)</f>
        <v>Fascia 3 (da 800 €  a meno di 1200 €)</v>
      </c>
      <c r="M363" t="str">
        <f>_xlfn.IFS(G363='Dati di Supporto'!$O$10,'Dati di Supporto'!$P$10,Vendite!G363='Dati di Supporto'!$O$11,'Dati di Supporto'!$P$11,Vendite!G363='Dati di Supporto'!$O$12,'Dati di Supporto'!$P$12,Vendite!G363='Dati di Supporto'!$O$13,'Dati di Supporto'!$P$13,Vendite!G363='Dati di Supporto'!$O$14,'Dati di Supporto'!$P$14)</f>
        <v>Carta di credito</v>
      </c>
    </row>
    <row r="364" spans="1:13" x14ac:dyDescent="0.3">
      <c r="A364" s="11">
        <v>363</v>
      </c>
      <c r="B364" s="6">
        <v>41759</v>
      </c>
      <c r="C364" s="1" t="s">
        <v>248</v>
      </c>
      <c r="D364" s="2" t="s">
        <v>114</v>
      </c>
      <c r="E364" s="2" t="s">
        <v>252</v>
      </c>
      <c r="F364" s="3">
        <v>849</v>
      </c>
      <c r="G364" s="15">
        <v>2</v>
      </c>
      <c r="H364" t="str">
        <f>VLOOKUP(D364,'Dati di Supporto'!$B$2:$C$104,2,FALSE)</f>
        <v>Sardegna</v>
      </c>
      <c r="I364" t="str">
        <f>VLOOKUP(D364,'Dati di Supporto'!$B$2:$D$104,3,FALSE)</f>
        <v>SS</v>
      </c>
      <c r="J364" t="str">
        <f>VLOOKUP(H364,'Dati di Supporto'!$G$2:$H$21,2,FALSE)</f>
        <v>ISOLE</v>
      </c>
      <c r="K364">
        <f t="shared" si="5"/>
        <v>80</v>
      </c>
      <c r="L364" t="str">
        <f>_xlfn.IFS(Vendite!F364&lt;'Dati di Supporto'!$O$3,'Dati di Supporto'!$P$2,Vendite!F364&lt;'Dati di Supporto'!$O$4,'Dati di Supporto'!$P$3,Vendite!F364&lt;'Dati di Supporto'!$O$5,'Dati di Supporto'!$P$4,Vendite!F364&lt;'Dati di Supporto'!$O$6,'Dati di Supporto'!$P$5,Vendite!F364&gt;'Dati di Supporto'!$O$6,'Dati di Supporto'!$P$6)</f>
        <v>Fascia 3 (da 800 €  a meno di 1200 €)</v>
      </c>
      <c r="M364" t="str">
        <f>_xlfn.IFS(G364='Dati di Supporto'!$O$10,'Dati di Supporto'!$P$10,Vendite!G364='Dati di Supporto'!$O$11,'Dati di Supporto'!$P$11,Vendite!G364='Dati di Supporto'!$O$12,'Dati di Supporto'!$P$12,Vendite!G364='Dati di Supporto'!$O$13,'Dati di Supporto'!$P$13,Vendite!G364='Dati di Supporto'!$O$14,'Dati di Supporto'!$P$14)</f>
        <v>Bonifico Bancario</v>
      </c>
    </row>
    <row r="365" spans="1:13" x14ac:dyDescent="0.3">
      <c r="A365" s="11">
        <v>364</v>
      </c>
      <c r="B365" s="6">
        <v>41819</v>
      </c>
      <c r="C365" s="1" t="s">
        <v>248</v>
      </c>
      <c r="D365" s="2" t="s">
        <v>128</v>
      </c>
      <c r="E365" s="2" t="s">
        <v>11</v>
      </c>
      <c r="F365" s="3">
        <v>1252</v>
      </c>
      <c r="G365" s="15">
        <v>1</v>
      </c>
      <c r="H365" t="str">
        <f>VLOOKUP(D365,'Dati di Supporto'!$B$2:$C$104,2,FALSE)</f>
        <v>Lombardia</v>
      </c>
      <c r="I365" t="str">
        <f>VLOOKUP(D365,'Dati di Supporto'!$B$2:$D$104,3,FALSE)</f>
        <v>VA</v>
      </c>
      <c r="J365" t="str">
        <f>VLOOKUP(H365,'Dati di Supporto'!$G$2:$H$21,2,FALSE)</f>
        <v>NORD</v>
      </c>
      <c r="K365">
        <f t="shared" si="5"/>
        <v>80</v>
      </c>
      <c r="L365" t="str">
        <f>_xlfn.IFS(Vendite!F365&lt;'Dati di Supporto'!$O$3,'Dati di Supporto'!$P$2,Vendite!F365&lt;'Dati di Supporto'!$O$4,'Dati di Supporto'!$P$3,Vendite!F365&lt;'Dati di Supporto'!$O$5,'Dati di Supporto'!$P$4,Vendite!F365&lt;'Dati di Supporto'!$O$6,'Dati di Supporto'!$P$5,Vendite!F365&gt;'Dati di Supporto'!$O$6,'Dati di Supporto'!$P$6)</f>
        <v>Fascia 4 (da 1200 €  a meno di 1500 €)</v>
      </c>
      <c r="M365" t="str">
        <f>_xlfn.IFS(G365='Dati di Supporto'!$O$10,'Dati di Supporto'!$P$10,Vendite!G365='Dati di Supporto'!$O$11,'Dati di Supporto'!$P$11,Vendite!G365='Dati di Supporto'!$O$12,'Dati di Supporto'!$P$12,Vendite!G365='Dati di Supporto'!$O$13,'Dati di Supporto'!$P$13,Vendite!G365='Dati di Supporto'!$O$14,'Dati di Supporto'!$P$14)</f>
        <v>Contanti</v>
      </c>
    </row>
    <row r="366" spans="1:13" x14ac:dyDescent="0.3">
      <c r="A366" s="11">
        <v>365</v>
      </c>
      <c r="B366" s="6">
        <v>41765</v>
      </c>
      <c r="C366" s="1" t="s">
        <v>8</v>
      </c>
      <c r="D366" s="2" t="s">
        <v>127</v>
      </c>
      <c r="E366" s="2" t="s">
        <v>250</v>
      </c>
      <c r="F366" s="3">
        <v>1965</v>
      </c>
      <c r="G366" s="15">
        <v>4</v>
      </c>
      <c r="H366" t="str">
        <f>VLOOKUP(D366,'Dati di Supporto'!$B$2:$C$104,2,FALSE)</f>
        <v>Friuli-Venezia Giulia</v>
      </c>
      <c r="I366" t="str">
        <f>VLOOKUP(D366,'Dati di Supporto'!$B$2:$D$104,3,FALSE)</f>
        <v>UD</v>
      </c>
      <c r="J366" t="str">
        <f>VLOOKUP(H366,'Dati di Supporto'!$G$2:$H$21,2,FALSE)</f>
        <v>NORD</v>
      </c>
      <c r="K366">
        <f t="shared" si="5"/>
        <v>70</v>
      </c>
      <c r="L366" t="str">
        <f>_xlfn.IFS(Vendite!F366&lt;'Dati di Supporto'!$O$3,'Dati di Supporto'!$P$2,Vendite!F366&lt;'Dati di Supporto'!$O$4,'Dati di Supporto'!$P$3,Vendite!F366&lt;'Dati di Supporto'!$O$5,'Dati di Supporto'!$P$4,Vendite!F366&lt;'Dati di Supporto'!$O$6,'Dati di Supporto'!$P$5,Vendite!F366&gt;'Dati di Supporto'!$O$6,'Dati di Supporto'!$P$6)</f>
        <v>Fascia 5 (da 1500 € e oltre)</v>
      </c>
      <c r="M366" t="str">
        <f>_xlfn.IFS(G366='Dati di Supporto'!$O$10,'Dati di Supporto'!$P$10,Vendite!G366='Dati di Supporto'!$O$11,'Dati di Supporto'!$P$11,Vendite!G366='Dati di Supporto'!$O$12,'Dati di Supporto'!$P$12,Vendite!G366='Dati di Supporto'!$O$13,'Dati di Supporto'!$P$13,Vendite!G366='Dati di Supporto'!$O$14,'Dati di Supporto'!$P$14)</f>
        <v>Bollettino postale</v>
      </c>
    </row>
    <row r="367" spans="1:13" x14ac:dyDescent="0.3">
      <c r="A367" s="11">
        <v>366</v>
      </c>
      <c r="B367" s="6">
        <v>41732</v>
      </c>
      <c r="C367" s="1" t="s">
        <v>1</v>
      </c>
      <c r="D367" s="2" t="s">
        <v>116</v>
      </c>
      <c r="E367" s="2" t="s">
        <v>11</v>
      </c>
      <c r="F367" s="3">
        <v>667</v>
      </c>
      <c r="G367" s="15">
        <v>5</v>
      </c>
      <c r="H367" t="str">
        <f>VLOOKUP(D367,'Dati di Supporto'!$B$2:$C$104,2,FALSE)</f>
        <v>Toscana</v>
      </c>
      <c r="I367" t="str">
        <f>VLOOKUP(D367,'Dati di Supporto'!$B$2:$D$104,3,FALSE)</f>
        <v>SI</v>
      </c>
      <c r="J367" t="str">
        <f>VLOOKUP(H367,'Dati di Supporto'!$G$2:$H$21,2,FALSE)</f>
        <v>CENTRO</v>
      </c>
      <c r="K367">
        <f t="shared" si="5"/>
        <v>96</v>
      </c>
      <c r="L367" t="str">
        <f>_xlfn.IFS(Vendite!F367&lt;'Dati di Supporto'!$O$3,'Dati di Supporto'!$P$2,Vendite!F367&lt;'Dati di Supporto'!$O$4,'Dati di Supporto'!$P$3,Vendite!F367&lt;'Dati di Supporto'!$O$5,'Dati di Supporto'!$P$4,Vendite!F367&lt;'Dati di Supporto'!$O$6,'Dati di Supporto'!$P$5,Vendite!F367&gt;'Dati di Supporto'!$O$6,'Dati di Supporto'!$P$6)</f>
        <v>Fascia 2 (da 400 €  a meno di 800 €)</v>
      </c>
      <c r="M367" t="str">
        <f>_xlfn.IFS(G367='Dati di Supporto'!$O$10,'Dati di Supporto'!$P$10,Vendite!G367='Dati di Supporto'!$O$11,'Dati di Supporto'!$P$11,Vendite!G367='Dati di Supporto'!$O$12,'Dati di Supporto'!$P$12,Vendite!G367='Dati di Supporto'!$O$13,'Dati di Supporto'!$P$13,Vendite!G367='Dati di Supporto'!$O$14,'Dati di Supporto'!$P$14)</f>
        <v>Assegno Bancario</v>
      </c>
    </row>
    <row r="368" spans="1:13" x14ac:dyDescent="0.3">
      <c r="A368" s="11">
        <v>367</v>
      </c>
      <c r="B368" s="6">
        <v>41692</v>
      </c>
      <c r="C368" s="1" t="s">
        <v>248</v>
      </c>
      <c r="D368" s="2" t="s">
        <v>135</v>
      </c>
      <c r="E368" s="2" t="s">
        <v>10</v>
      </c>
      <c r="F368" s="3">
        <v>653</v>
      </c>
      <c r="G368" s="15">
        <v>3</v>
      </c>
      <c r="H368" t="str">
        <f>VLOOKUP(D368,'Dati di Supporto'!$B$2:$C$104,2,FALSE)</f>
        <v>Lazio</v>
      </c>
      <c r="I368" t="str">
        <f>VLOOKUP(D368,'Dati di Supporto'!$B$2:$D$104,3,FALSE)</f>
        <v>VT</v>
      </c>
      <c r="J368" t="str">
        <f>VLOOKUP(H368,'Dati di Supporto'!$G$2:$H$21,2,FALSE)</f>
        <v>CENTRO</v>
      </c>
      <c r="K368">
        <f t="shared" si="5"/>
        <v>80</v>
      </c>
      <c r="L368" t="str">
        <f>_xlfn.IFS(Vendite!F368&lt;'Dati di Supporto'!$O$3,'Dati di Supporto'!$P$2,Vendite!F368&lt;'Dati di Supporto'!$O$4,'Dati di Supporto'!$P$3,Vendite!F368&lt;'Dati di Supporto'!$O$5,'Dati di Supporto'!$P$4,Vendite!F368&lt;'Dati di Supporto'!$O$6,'Dati di Supporto'!$P$5,Vendite!F368&gt;'Dati di Supporto'!$O$6,'Dati di Supporto'!$P$6)</f>
        <v>Fascia 2 (da 400 €  a meno di 800 €)</v>
      </c>
      <c r="M368" t="str">
        <f>_xlfn.IFS(G368='Dati di Supporto'!$O$10,'Dati di Supporto'!$P$10,Vendite!G368='Dati di Supporto'!$O$11,'Dati di Supporto'!$P$11,Vendite!G368='Dati di Supporto'!$O$12,'Dati di Supporto'!$P$12,Vendite!G368='Dati di Supporto'!$O$13,'Dati di Supporto'!$P$13,Vendite!G368='Dati di Supporto'!$O$14,'Dati di Supporto'!$P$14)</f>
        <v>Carta di credito</v>
      </c>
    </row>
    <row r="369" spans="1:13" x14ac:dyDescent="0.3">
      <c r="A369" s="11">
        <v>368</v>
      </c>
      <c r="B369" s="6">
        <v>41819</v>
      </c>
      <c r="C369" s="1" t="s">
        <v>3</v>
      </c>
      <c r="D369" s="2" t="s">
        <v>111</v>
      </c>
      <c r="E369" s="2" t="s">
        <v>252</v>
      </c>
      <c r="F369" s="3">
        <v>1602</v>
      </c>
      <c r="G369" s="15">
        <v>4</v>
      </c>
      <c r="H369" t="str">
        <f>VLOOKUP(D369,'Dati di Supporto'!$B$2:$C$104,2,FALSE)</f>
        <v>Lazio</v>
      </c>
      <c r="I369" t="str">
        <f>VLOOKUP(D369,'Dati di Supporto'!$B$2:$D$104,3,FALSE)</f>
        <v>RM</v>
      </c>
      <c r="J369" t="str">
        <f>VLOOKUP(H369,'Dati di Supporto'!$G$2:$H$21,2,FALSE)</f>
        <v>CENTRO</v>
      </c>
      <c r="K369">
        <f t="shared" si="5"/>
        <v>87</v>
      </c>
      <c r="L369" t="str">
        <f>_xlfn.IFS(Vendite!F369&lt;'Dati di Supporto'!$O$3,'Dati di Supporto'!$P$2,Vendite!F369&lt;'Dati di Supporto'!$O$4,'Dati di Supporto'!$P$3,Vendite!F369&lt;'Dati di Supporto'!$O$5,'Dati di Supporto'!$P$4,Vendite!F369&lt;'Dati di Supporto'!$O$6,'Dati di Supporto'!$P$5,Vendite!F369&gt;'Dati di Supporto'!$O$6,'Dati di Supporto'!$P$6)</f>
        <v>Fascia 5 (da 1500 € e oltre)</v>
      </c>
      <c r="M369" t="str">
        <f>_xlfn.IFS(G369='Dati di Supporto'!$O$10,'Dati di Supporto'!$P$10,Vendite!G369='Dati di Supporto'!$O$11,'Dati di Supporto'!$P$11,Vendite!G369='Dati di Supporto'!$O$12,'Dati di Supporto'!$P$12,Vendite!G369='Dati di Supporto'!$O$13,'Dati di Supporto'!$P$13,Vendite!G369='Dati di Supporto'!$O$14,'Dati di Supporto'!$P$14)</f>
        <v>Bollettino postale</v>
      </c>
    </row>
    <row r="370" spans="1:13" x14ac:dyDescent="0.3">
      <c r="A370" s="11">
        <v>369</v>
      </c>
      <c r="B370" s="6">
        <v>41813</v>
      </c>
      <c r="C370" s="1" t="s">
        <v>247</v>
      </c>
      <c r="D370" s="2" t="s">
        <v>115</v>
      </c>
      <c r="E370" s="2" t="s">
        <v>252</v>
      </c>
      <c r="F370" s="3">
        <v>1609</v>
      </c>
      <c r="G370" s="15">
        <v>2</v>
      </c>
      <c r="H370" t="str">
        <f>VLOOKUP(D370,'Dati di Supporto'!$B$2:$C$104,2,FALSE)</f>
        <v>Liguria</v>
      </c>
      <c r="I370" t="str">
        <f>VLOOKUP(D370,'Dati di Supporto'!$B$2:$D$104,3,FALSE)</f>
        <v>SV</v>
      </c>
      <c r="J370" t="str">
        <f>VLOOKUP(H370,'Dati di Supporto'!$G$2:$H$21,2,FALSE)</f>
        <v>NORD</v>
      </c>
      <c r="K370">
        <f t="shared" si="5"/>
        <v>83</v>
      </c>
      <c r="L370" t="str">
        <f>_xlfn.IFS(Vendite!F370&lt;'Dati di Supporto'!$O$3,'Dati di Supporto'!$P$2,Vendite!F370&lt;'Dati di Supporto'!$O$4,'Dati di Supporto'!$P$3,Vendite!F370&lt;'Dati di Supporto'!$O$5,'Dati di Supporto'!$P$4,Vendite!F370&lt;'Dati di Supporto'!$O$6,'Dati di Supporto'!$P$5,Vendite!F370&gt;'Dati di Supporto'!$O$6,'Dati di Supporto'!$P$6)</f>
        <v>Fascia 5 (da 1500 € e oltre)</v>
      </c>
      <c r="M370" t="str">
        <f>_xlfn.IFS(G370='Dati di Supporto'!$O$10,'Dati di Supporto'!$P$10,Vendite!G370='Dati di Supporto'!$O$11,'Dati di Supporto'!$P$11,Vendite!G370='Dati di Supporto'!$O$12,'Dati di Supporto'!$P$12,Vendite!G370='Dati di Supporto'!$O$13,'Dati di Supporto'!$P$13,Vendite!G370='Dati di Supporto'!$O$14,'Dati di Supporto'!$P$14)</f>
        <v>Bonifico Bancario</v>
      </c>
    </row>
    <row r="371" spans="1:13" x14ac:dyDescent="0.3">
      <c r="A371" s="11">
        <v>370</v>
      </c>
      <c r="B371" s="6">
        <v>41764</v>
      </c>
      <c r="C371" s="1" t="s">
        <v>247</v>
      </c>
      <c r="D371" s="2" t="s">
        <v>99</v>
      </c>
      <c r="E371" s="2" t="s">
        <v>250</v>
      </c>
      <c r="F371" s="3">
        <v>1234</v>
      </c>
      <c r="G371" s="15">
        <v>4</v>
      </c>
      <c r="H371" t="str">
        <f>VLOOKUP(D371,'Dati di Supporto'!$B$2:$C$104,2,FALSE)</f>
        <v>Marche</v>
      </c>
      <c r="I371" t="str">
        <f>VLOOKUP(D371,'Dati di Supporto'!$B$2:$D$104,3,FALSE)</f>
        <v>PS</v>
      </c>
      <c r="J371" t="str">
        <f>VLOOKUP(H371,'Dati di Supporto'!$G$2:$H$21,2,FALSE)</f>
        <v>CENTRO</v>
      </c>
      <c r="K371">
        <f t="shared" si="5"/>
        <v>83</v>
      </c>
      <c r="L371" t="str">
        <f>_xlfn.IFS(Vendite!F371&lt;'Dati di Supporto'!$O$3,'Dati di Supporto'!$P$2,Vendite!F371&lt;'Dati di Supporto'!$O$4,'Dati di Supporto'!$P$3,Vendite!F371&lt;'Dati di Supporto'!$O$5,'Dati di Supporto'!$P$4,Vendite!F371&lt;'Dati di Supporto'!$O$6,'Dati di Supporto'!$P$5,Vendite!F371&gt;'Dati di Supporto'!$O$6,'Dati di Supporto'!$P$6)</f>
        <v>Fascia 4 (da 1200 €  a meno di 1500 €)</v>
      </c>
      <c r="M371" t="str">
        <f>_xlfn.IFS(G371='Dati di Supporto'!$O$10,'Dati di Supporto'!$P$10,Vendite!G371='Dati di Supporto'!$O$11,'Dati di Supporto'!$P$11,Vendite!G371='Dati di Supporto'!$O$12,'Dati di Supporto'!$P$12,Vendite!G371='Dati di Supporto'!$O$13,'Dati di Supporto'!$P$13,Vendite!G371='Dati di Supporto'!$O$14,'Dati di Supporto'!$P$14)</f>
        <v>Bollettino postale</v>
      </c>
    </row>
    <row r="372" spans="1:13" x14ac:dyDescent="0.3">
      <c r="A372" s="11">
        <v>371</v>
      </c>
      <c r="B372" s="6">
        <v>41727</v>
      </c>
      <c r="C372" s="1" t="s">
        <v>3</v>
      </c>
      <c r="D372" s="2" t="s">
        <v>121</v>
      </c>
      <c r="E372" s="2" t="s">
        <v>11</v>
      </c>
      <c r="F372" s="3">
        <v>186</v>
      </c>
      <c r="G372" s="15">
        <v>3</v>
      </c>
      <c r="H372" t="str">
        <f>VLOOKUP(D372,'Dati di Supporto'!$B$2:$C$104,2,FALSE)</f>
        <v>Umbria</v>
      </c>
      <c r="I372" t="str">
        <f>VLOOKUP(D372,'Dati di Supporto'!$B$2:$D$104,3,FALSE)</f>
        <v>TR</v>
      </c>
      <c r="J372" t="str">
        <f>VLOOKUP(H372,'Dati di Supporto'!$G$2:$H$21,2,FALSE)</f>
        <v>CENTRO</v>
      </c>
      <c r="K372">
        <f t="shared" si="5"/>
        <v>87</v>
      </c>
      <c r="L372" t="str">
        <f>_xlfn.IFS(Vendite!F372&lt;'Dati di Supporto'!$O$3,'Dati di Supporto'!$P$2,Vendite!F372&lt;'Dati di Supporto'!$O$4,'Dati di Supporto'!$P$3,Vendite!F372&lt;'Dati di Supporto'!$O$5,'Dati di Supporto'!$P$4,Vendite!F372&lt;'Dati di Supporto'!$O$6,'Dati di Supporto'!$P$5,Vendite!F372&gt;'Dati di Supporto'!$O$6,'Dati di Supporto'!$P$6)</f>
        <v>Fascia 1 (inferiore a 400 €)</v>
      </c>
      <c r="M372" t="str">
        <f>_xlfn.IFS(G372='Dati di Supporto'!$O$10,'Dati di Supporto'!$P$10,Vendite!G372='Dati di Supporto'!$O$11,'Dati di Supporto'!$P$11,Vendite!G372='Dati di Supporto'!$O$12,'Dati di Supporto'!$P$12,Vendite!G372='Dati di Supporto'!$O$13,'Dati di Supporto'!$P$13,Vendite!G372='Dati di Supporto'!$O$14,'Dati di Supporto'!$P$14)</f>
        <v>Carta di credito</v>
      </c>
    </row>
    <row r="373" spans="1:13" x14ac:dyDescent="0.3">
      <c r="A373" s="11">
        <v>372</v>
      </c>
      <c r="B373" s="6">
        <v>41762</v>
      </c>
      <c r="C373" s="1" t="s">
        <v>2</v>
      </c>
      <c r="D373" s="2" t="s">
        <v>103</v>
      </c>
      <c r="E373" s="2" t="s">
        <v>11</v>
      </c>
      <c r="F373" s="3">
        <v>556</v>
      </c>
      <c r="G373" s="15">
        <v>4</v>
      </c>
      <c r="H373" t="str">
        <f>VLOOKUP(D373,'Dati di Supporto'!$B$2:$C$104,2,FALSE)</f>
        <v>Toscana</v>
      </c>
      <c r="I373" t="str">
        <f>VLOOKUP(D373,'Dati di Supporto'!$B$2:$D$104,3,FALSE)</f>
        <v>PT</v>
      </c>
      <c r="J373" t="str">
        <f>VLOOKUP(H373,'Dati di Supporto'!$G$2:$H$21,2,FALSE)</f>
        <v>CENTRO</v>
      </c>
      <c r="K373">
        <f t="shared" si="5"/>
        <v>84</v>
      </c>
      <c r="L373" t="str">
        <f>_xlfn.IFS(Vendite!F373&lt;'Dati di Supporto'!$O$3,'Dati di Supporto'!$P$2,Vendite!F373&lt;'Dati di Supporto'!$O$4,'Dati di Supporto'!$P$3,Vendite!F373&lt;'Dati di Supporto'!$O$5,'Dati di Supporto'!$P$4,Vendite!F373&lt;'Dati di Supporto'!$O$6,'Dati di Supporto'!$P$5,Vendite!F373&gt;'Dati di Supporto'!$O$6,'Dati di Supporto'!$P$6)</f>
        <v>Fascia 2 (da 400 €  a meno di 800 €)</v>
      </c>
      <c r="M373" t="str">
        <f>_xlfn.IFS(G373='Dati di Supporto'!$O$10,'Dati di Supporto'!$P$10,Vendite!G373='Dati di Supporto'!$O$11,'Dati di Supporto'!$P$11,Vendite!G373='Dati di Supporto'!$O$12,'Dati di Supporto'!$P$12,Vendite!G373='Dati di Supporto'!$O$13,'Dati di Supporto'!$P$13,Vendite!G373='Dati di Supporto'!$O$14,'Dati di Supporto'!$P$14)</f>
        <v>Bollettino postale</v>
      </c>
    </row>
    <row r="374" spans="1:13" x14ac:dyDescent="0.3">
      <c r="A374" s="11">
        <v>373</v>
      </c>
      <c r="B374" s="6">
        <v>41804</v>
      </c>
      <c r="C374" s="1" t="s">
        <v>1</v>
      </c>
      <c r="D374" s="2" t="s">
        <v>122</v>
      </c>
      <c r="E374" s="2" t="s">
        <v>251</v>
      </c>
      <c r="F374" s="3">
        <v>408</v>
      </c>
      <c r="G374" s="15">
        <v>5</v>
      </c>
      <c r="H374" t="str">
        <f>VLOOKUP(D374,'Dati di Supporto'!$B$2:$C$104,2,FALSE)</f>
        <v>Piemonte</v>
      </c>
      <c r="I374" t="str">
        <f>VLOOKUP(D374,'Dati di Supporto'!$B$2:$D$104,3,FALSE)</f>
        <v>TO</v>
      </c>
      <c r="J374" t="str">
        <f>VLOOKUP(H374,'Dati di Supporto'!$G$2:$H$21,2,FALSE)</f>
        <v>NORD</v>
      </c>
      <c r="K374">
        <f t="shared" si="5"/>
        <v>96</v>
      </c>
      <c r="L374" t="str">
        <f>_xlfn.IFS(Vendite!F374&lt;'Dati di Supporto'!$O$3,'Dati di Supporto'!$P$2,Vendite!F374&lt;'Dati di Supporto'!$O$4,'Dati di Supporto'!$P$3,Vendite!F374&lt;'Dati di Supporto'!$O$5,'Dati di Supporto'!$P$4,Vendite!F374&lt;'Dati di Supporto'!$O$6,'Dati di Supporto'!$P$5,Vendite!F374&gt;'Dati di Supporto'!$O$6,'Dati di Supporto'!$P$6)</f>
        <v>Fascia 2 (da 400 €  a meno di 800 €)</v>
      </c>
      <c r="M374" t="str">
        <f>_xlfn.IFS(G374='Dati di Supporto'!$O$10,'Dati di Supporto'!$P$10,Vendite!G374='Dati di Supporto'!$O$11,'Dati di Supporto'!$P$11,Vendite!G374='Dati di Supporto'!$O$12,'Dati di Supporto'!$P$12,Vendite!G374='Dati di Supporto'!$O$13,'Dati di Supporto'!$P$13,Vendite!G374='Dati di Supporto'!$O$14,'Dati di Supporto'!$P$14)</f>
        <v>Assegno Bancario</v>
      </c>
    </row>
    <row r="375" spans="1:13" x14ac:dyDescent="0.3">
      <c r="A375" s="11">
        <v>374</v>
      </c>
      <c r="B375" s="6">
        <v>41706</v>
      </c>
      <c r="C375" s="1" t="s">
        <v>1</v>
      </c>
      <c r="D375" s="2" t="s">
        <v>133</v>
      </c>
      <c r="E375" s="2" t="s">
        <v>252</v>
      </c>
      <c r="F375" s="3">
        <v>754</v>
      </c>
      <c r="G375" s="15">
        <v>3</v>
      </c>
      <c r="H375" t="str">
        <f>VLOOKUP(D375,'Dati di Supporto'!$B$2:$C$104,2,FALSE)</f>
        <v>Calabria</v>
      </c>
      <c r="I375" t="str">
        <f>VLOOKUP(D375,'Dati di Supporto'!$B$2:$D$104,3,FALSE)</f>
        <v>VV</v>
      </c>
      <c r="J375" t="str">
        <f>VLOOKUP(H375,'Dati di Supporto'!$G$2:$H$21,2,FALSE)</f>
        <v>SUD</v>
      </c>
      <c r="K375">
        <f t="shared" si="5"/>
        <v>96</v>
      </c>
      <c r="L375" t="str">
        <f>_xlfn.IFS(Vendite!F375&lt;'Dati di Supporto'!$O$3,'Dati di Supporto'!$P$2,Vendite!F375&lt;'Dati di Supporto'!$O$4,'Dati di Supporto'!$P$3,Vendite!F375&lt;'Dati di Supporto'!$O$5,'Dati di Supporto'!$P$4,Vendite!F375&lt;'Dati di Supporto'!$O$6,'Dati di Supporto'!$P$5,Vendite!F375&gt;'Dati di Supporto'!$O$6,'Dati di Supporto'!$P$6)</f>
        <v>Fascia 2 (da 400 €  a meno di 800 €)</v>
      </c>
      <c r="M375" t="str">
        <f>_xlfn.IFS(G375='Dati di Supporto'!$O$10,'Dati di Supporto'!$P$10,Vendite!G375='Dati di Supporto'!$O$11,'Dati di Supporto'!$P$11,Vendite!G375='Dati di Supporto'!$O$12,'Dati di Supporto'!$P$12,Vendite!G375='Dati di Supporto'!$O$13,'Dati di Supporto'!$P$13,Vendite!G375='Dati di Supporto'!$O$14,'Dati di Supporto'!$P$14)</f>
        <v>Carta di credito</v>
      </c>
    </row>
    <row r="376" spans="1:13" x14ac:dyDescent="0.3">
      <c r="A376" s="11">
        <v>375</v>
      </c>
      <c r="B376" s="6">
        <v>41645</v>
      </c>
      <c r="C376" s="1" t="s">
        <v>3</v>
      </c>
      <c r="D376" s="2" t="s">
        <v>130</v>
      </c>
      <c r="E376" s="2" t="s">
        <v>252</v>
      </c>
      <c r="F376" s="3">
        <v>131</v>
      </c>
      <c r="G376" s="15">
        <v>1</v>
      </c>
      <c r="H376" t="str">
        <f>VLOOKUP(D376,'Dati di Supporto'!$B$2:$C$104,2,FALSE)</f>
        <v>Piemonte</v>
      </c>
      <c r="I376" t="str">
        <f>VLOOKUP(D376,'Dati di Supporto'!$B$2:$D$104,3,FALSE)</f>
        <v>VB</v>
      </c>
      <c r="J376" t="str">
        <f>VLOOKUP(H376,'Dati di Supporto'!$G$2:$H$21,2,FALSE)</f>
        <v>NORD</v>
      </c>
      <c r="K376">
        <f t="shared" si="5"/>
        <v>87</v>
      </c>
      <c r="L376" t="str">
        <f>_xlfn.IFS(Vendite!F376&lt;'Dati di Supporto'!$O$3,'Dati di Supporto'!$P$2,Vendite!F376&lt;'Dati di Supporto'!$O$4,'Dati di Supporto'!$P$3,Vendite!F376&lt;'Dati di Supporto'!$O$5,'Dati di Supporto'!$P$4,Vendite!F376&lt;'Dati di Supporto'!$O$6,'Dati di Supporto'!$P$5,Vendite!F376&gt;'Dati di Supporto'!$O$6,'Dati di Supporto'!$P$6)</f>
        <v>Fascia 1 (inferiore a 400 €)</v>
      </c>
      <c r="M376" t="str">
        <f>_xlfn.IFS(G376='Dati di Supporto'!$O$10,'Dati di Supporto'!$P$10,Vendite!G376='Dati di Supporto'!$O$11,'Dati di Supporto'!$P$11,Vendite!G376='Dati di Supporto'!$O$12,'Dati di Supporto'!$P$12,Vendite!G376='Dati di Supporto'!$O$13,'Dati di Supporto'!$P$13,Vendite!G376='Dati di Supporto'!$O$14,'Dati di Supporto'!$P$14)</f>
        <v>Contanti</v>
      </c>
    </row>
    <row r="377" spans="1:13" x14ac:dyDescent="0.3">
      <c r="A377" s="11">
        <v>376</v>
      </c>
      <c r="B377" s="6">
        <v>41692</v>
      </c>
      <c r="C377" s="1" t="s">
        <v>2</v>
      </c>
      <c r="D377" s="2" t="s">
        <v>114</v>
      </c>
      <c r="E377" s="2" t="s">
        <v>250</v>
      </c>
      <c r="F377" s="3">
        <v>1494</v>
      </c>
      <c r="G377" s="15">
        <v>5</v>
      </c>
      <c r="H377" t="str">
        <f>VLOOKUP(D377,'Dati di Supporto'!$B$2:$C$104,2,FALSE)</f>
        <v>Sardegna</v>
      </c>
      <c r="I377" t="str">
        <f>VLOOKUP(D377,'Dati di Supporto'!$B$2:$D$104,3,FALSE)</f>
        <v>SS</v>
      </c>
      <c r="J377" t="str">
        <f>VLOOKUP(H377,'Dati di Supporto'!$G$2:$H$21,2,FALSE)</f>
        <v>ISOLE</v>
      </c>
      <c r="K377">
        <f t="shared" si="5"/>
        <v>84</v>
      </c>
      <c r="L377" t="str">
        <f>_xlfn.IFS(Vendite!F377&lt;'Dati di Supporto'!$O$3,'Dati di Supporto'!$P$2,Vendite!F377&lt;'Dati di Supporto'!$O$4,'Dati di Supporto'!$P$3,Vendite!F377&lt;'Dati di Supporto'!$O$5,'Dati di Supporto'!$P$4,Vendite!F377&lt;'Dati di Supporto'!$O$6,'Dati di Supporto'!$P$5,Vendite!F377&gt;'Dati di Supporto'!$O$6,'Dati di Supporto'!$P$6)</f>
        <v>Fascia 4 (da 1200 €  a meno di 1500 €)</v>
      </c>
      <c r="M377" t="str">
        <f>_xlfn.IFS(G377='Dati di Supporto'!$O$10,'Dati di Supporto'!$P$10,Vendite!G377='Dati di Supporto'!$O$11,'Dati di Supporto'!$P$11,Vendite!G377='Dati di Supporto'!$O$12,'Dati di Supporto'!$P$12,Vendite!G377='Dati di Supporto'!$O$13,'Dati di Supporto'!$P$13,Vendite!G377='Dati di Supporto'!$O$14,'Dati di Supporto'!$P$14)</f>
        <v>Assegno Bancario</v>
      </c>
    </row>
    <row r="378" spans="1:13" x14ac:dyDescent="0.3">
      <c r="A378" s="11">
        <v>377</v>
      </c>
      <c r="B378" s="6">
        <v>41753</v>
      </c>
      <c r="C378" s="1" t="s">
        <v>1</v>
      </c>
      <c r="D378" s="2" t="s">
        <v>130</v>
      </c>
      <c r="E378" s="2" t="s">
        <v>251</v>
      </c>
      <c r="F378" s="3">
        <v>1960</v>
      </c>
      <c r="G378" s="15">
        <v>5</v>
      </c>
      <c r="H378" t="str">
        <f>VLOOKUP(D378,'Dati di Supporto'!$B$2:$C$104,2,FALSE)</f>
        <v>Piemonte</v>
      </c>
      <c r="I378" t="str">
        <f>VLOOKUP(D378,'Dati di Supporto'!$B$2:$D$104,3,FALSE)</f>
        <v>VB</v>
      </c>
      <c r="J378" t="str">
        <f>VLOOKUP(H378,'Dati di Supporto'!$G$2:$H$21,2,FALSE)</f>
        <v>NORD</v>
      </c>
      <c r="K378">
        <f t="shared" si="5"/>
        <v>96</v>
      </c>
      <c r="L378" t="str">
        <f>_xlfn.IFS(Vendite!F378&lt;'Dati di Supporto'!$O$3,'Dati di Supporto'!$P$2,Vendite!F378&lt;'Dati di Supporto'!$O$4,'Dati di Supporto'!$P$3,Vendite!F378&lt;'Dati di Supporto'!$O$5,'Dati di Supporto'!$P$4,Vendite!F378&lt;'Dati di Supporto'!$O$6,'Dati di Supporto'!$P$5,Vendite!F378&gt;'Dati di Supporto'!$O$6,'Dati di Supporto'!$P$6)</f>
        <v>Fascia 5 (da 1500 € e oltre)</v>
      </c>
      <c r="M378" t="str">
        <f>_xlfn.IFS(G378='Dati di Supporto'!$O$10,'Dati di Supporto'!$P$10,Vendite!G378='Dati di Supporto'!$O$11,'Dati di Supporto'!$P$11,Vendite!G378='Dati di Supporto'!$O$12,'Dati di Supporto'!$P$12,Vendite!G378='Dati di Supporto'!$O$13,'Dati di Supporto'!$P$13,Vendite!G378='Dati di Supporto'!$O$14,'Dati di Supporto'!$P$14)</f>
        <v>Assegno Bancario</v>
      </c>
    </row>
    <row r="379" spans="1:13" x14ac:dyDescent="0.3">
      <c r="A379" s="11">
        <v>378</v>
      </c>
      <c r="B379" s="6">
        <v>41689</v>
      </c>
      <c r="C379" s="1" t="s">
        <v>3</v>
      </c>
      <c r="D379" s="2" t="s">
        <v>107</v>
      </c>
      <c r="E379" s="2" t="s">
        <v>251</v>
      </c>
      <c r="F379" s="3">
        <v>1586</v>
      </c>
      <c r="G379" s="15">
        <v>4</v>
      </c>
      <c r="H379" t="str">
        <f>VLOOKUP(D379,'Dati di Supporto'!$B$2:$C$104,2,FALSE)</f>
        <v>Sicilia</v>
      </c>
      <c r="I379" t="str">
        <f>VLOOKUP(D379,'Dati di Supporto'!$B$2:$D$104,3,FALSE)</f>
        <v>RG</v>
      </c>
      <c r="J379" t="str">
        <f>VLOOKUP(H379,'Dati di Supporto'!$G$2:$H$21,2,FALSE)</f>
        <v>ISOLE</v>
      </c>
      <c r="K379">
        <f t="shared" si="5"/>
        <v>87</v>
      </c>
      <c r="L379" t="str">
        <f>_xlfn.IFS(Vendite!F379&lt;'Dati di Supporto'!$O$3,'Dati di Supporto'!$P$2,Vendite!F379&lt;'Dati di Supporto'!$O$4,'Dati di Supporto'!$P$3,Vendite!F379&lt;'Dati di Supporto'!$O$5,'Dati di Supporto'!$P$4,Vendite!F379&lt;'Dati di Supporto'!$O$6,'Dati di Supporto'!$P$5,Vendite!F379&gt;'Dati di Supporto'!$O$6,'Dati di Supporto'!$P$6)</f>
        <v>Fascia 5 (da 1500 € e oltre)</v>
      </c>
      <c r="M379" t="str">
        <f>_xlfn.IFS(G379='Dati di Supporto'!$O$10,'Dati di Supporto'!$P$10,Vendite!G379='Dati di Supporto'!$O$11,'Dati di Supporto'!$P$11,Vendite!G379='Dati di Supporto'!$O$12,'Dati di Supporto'!$P$12,Vendite!G379='Dati di Supporto'!$O$13,'Dati di Supporto'!$P$13,Vendite!G379='Dati di Supporto'!$O$14,'Dati di Supporto'!$P$14)</f>
        <v>Bollettino postale</v>
      </c>
    </row>
    <row r="380" spans="1:13" x14ac:dyDescent="0.3">
      <c r="A380" s="11">
        <v>379</v>
      </c>
      <c r="B380" s="6">
        <v>41682</v>
      </c>
      <c r="C380" s="1" t="s">
        <v>247</v>
      </c>
      <c r="D380" s="2" t="s">
        <v>102</v>
      </c>
      <c r="E380" s="2" t="s">
        <v>11</v>
      </c>
      <c r="F380" s="3">
        <v>255</v>
      </c>
      <c r="G380" s="15">
        <v>1</v>
      </c>
      <c r="H380" t="str">
        <f>VLOOKUP(D380,'Dati di Supporto'!$B$2:$C$104,2,FALSE)</f>
        <v>Toscana</v>
      </c>
      <c r="I380" t="str">
        <f>VLOOKUP(D380,'Dati di Supporto'!$B$2:$D$104,3,FALSE)</f>
        <v>PI</v>
      </c>
      <c r="J380" t="str">
        <f>VLOOKUP(H380,'Dati di Supporto'!$G$2:$H$21,2,FALSE)</f>
        <v>CENTRO</v>
      </c>
      <c r="K380">
        <f t="shared" si="5"/>
        <v>83</v>
      </c>
      <c r="L380" t="str">
        <f>_xlfn.IFS(Vendite!F380&lt;'Dati di Supporto'!$O$3,'Dati di Supporto'!$P$2,Vendite!F380&lt;'Dati di Supporto'!$O$4,'Dati di Supporto'!$P$3,Vendite!F380&lt;'Dati di Supporto'!$O$5,'Dati di Supporto'!$P$4,Vendite!F380&lt;'Dati di Supporto'!$O$6,'Dati di Supporto'!$P$5,Vendite!F380&gt;'Dati di Supporto'!$O$6,'Dati di Supporto'!$P$6)</f>
        <v>Fascia 1 (inferiore a 400 €)</v>
      </c>
      <c r="M380" t="str">
        <f>_xlfn.IFS(G380='Dati di Supporto'!$O$10,'Dati di Supporto'!$P$10,Vendite!G380='Dati di Supporto'!$O$11,'Dati di Supporto'!$P$11,Vendite!G380='Dati di Supporto'!$O$12,'Dati di Supporto'!$P$12,Vendite!G380='Dati di Supporto'!$O$13,'Dati di Supporto'!$P$13,Vendite!G380='Dati di Supporto'!$O$14,'Dati di Supporto'!$P$14)</f>
        <v>Contanti</v>
      </c>
    </row>
    <row r="381" spans="1:13" x14ac:dyDescent="0.3">
      <c r="A381" s="11">
        <v>380</v>
      </c>
      <c r="B381" s="6">
        <v>41659</v>
      </c>
      <c r="C381" s="1" t="s">
        <v>248</v>
      </c>
      <c r="D381" s="2" t="s">
        <v>118</v>
      </c>
      <c r="E381" s="2" t="s">
        <v>250</v>
      </c>
      <c r="F381" s="3">
        <v>1469</v>
      </c>
      <c r="G381" s="15">
        <v>2</v>
      </c>
      <c r="H381" t="str">
        <f>VLOOKUP(D381,'Dati di Supporto'!$B$2:$C$104,2,FALSE)</f>
        <v>Lombardia</v>
      </c>
      <c r="I381" t="str">
        <f>VLOOKUP(D381,'Dati di Supporto'!$B$2:$D$104,3,FALSE)</f>
        <v>SO</v>
      </c>
      <c r="J381" t="str">
        <f>VLOOKUP(H381,'Dati di Supporto'!$G$2:$H$21,2,FALSE)</f>
        <v>NORD</v>
      </c>
      <c r="K381">
        <f t="shared" si="5"/>
        <v>80</v>
      </c>
      <c r="L381" t="str">
        <f>_xlfn.IFS(Vendite!F381&lt;'Dati di Supporto'!$O$3,'Dati di Supporto'!$P$2,Vendite!F381&lt;'Dati di Supporto'!$O$4,'Dati di Supporto'!$P$3,Vendite!F381&lt;'Dati di Supporto'!$O$5,'Dati di Supporto'!$P$4,Vendite!F381&lt;'Dati di Supporto'!$O$6,'Dati di Supporto'!$P$5,Vendite!F381&gt;'Dati di Supporto'!$O$6,'Dati di Supporto'!$P$6)</f>
        <v>Fascia 4 (da 1200 €  a meno di 1500 €)</v>
      </c>
      <c r="M381" t="str">
        <f>_xlfn.IFS(G381='Dati di Supporto'!$O$10,'Dati di Supporto'!$P$10,Vendite!G381='Dati di Supporto'!$O$11,'Dati di Supporto'!$P$11,Vendite!G381='Dati di Supporto'!$O$12,'Dati di Supporto'!$P$12,Vendite!G381='Dati di Supporto'!$O$13,'Dati di Supporto'!$P$13,Vendite!G381='Dati di Supporto'!$O$14,'Dati di Supporto'!$P$14)</f>
        <v>Bonifico Bancario</v>
      </c>
    </row>
    <row r="382" spans="1:13" x14ac:dyDescent="0.3">
      <c r="A382" s="11">
        <v>381</v>
      </c>
      <c r="B382" s="6">
        <v>41729</v>
      </c>
      <c r="C382" s="1" t="s">
        <v>247</v>
      </c>
      <c r="D382" s="2" t="s">
        <v>99</v>
      </c>
      <c r="E382" s="2" t="s">
        <v>251</v>
      </c>
      <c r="F382" s="3">
        <v>1321</v>
      </c>
      <c r="G382" s="15">
        <v>4</v>
      </c>
      <c r="H382" t="str">
        <f>VLOOKUP(D382,'Dati di Supporto'!$B$2:$C$104,2,FALSE)</f>
        <v>Marche</v>
      </c>
      <c r="I382" t="str">
        <f>VLOOKUP(D382,'Dati di Supporto'!$B$2:$D$104,3,FALSE)</f>
        <v>PS</v>
      </c>
      <c r="J382" t="str">
        <f>VLOOKUP(H382,'Dati di Supporto'!$G$2:$H$21,2,FALSE)</f>
        <v>CENTRO</v>
      </c>
      <c r="K382">
        <f t="shared" si="5"/>
        <v>83</v>
      </c>
      <c r="L382" t="str">
        <f>_xlfn.IFS(Vendite!F382&lt;'Dati di Supporto'!$O$3,'Dati di Supporto'!$P$2,Vendite!F382&lt;'Dati di Supporto'!$O$4,'Dati di Supporto'!$P$3,Vendite!F382&lt;'Dati di Supporto'!$O$5,'Dati di Supporto'!$P$4,Vendite!F382&lt;'Dati di Supporto'!$O$6,'Dati di Supporto'!$P$5,Vendite!F382&gt;'Dati di Supporto'!$O$6,'Dati di Supporto'!$P$6)</f>
        <v>Fascia 4 (da 1200 €  a meno di 1500 €)</v>
      </c>
      <c r="M382" t="str">
        <f>_xlfn.IFS(G382='Dati di Supporto'!$O$10,'Dati di Supporto'!$P$10,Vendite!G382='Dati di Supporto'!$O$11,'Dati di Supporto'!$P$11,Vendite!G382='Dati di Supporto'!$O$12,'Dati di Supporto'!$P$12,Vendite!G382='Dati di Supporto'!$O$13,'Dati di Supporto'!$P$13,Vendite!G382='Dati di Supporto'!$O$14,'Dati di Supporto'!$P$14)</f>
        <v>Bollettino postale</v>
      </c>
    </row>
    <row r="383" spans="1:13" x14ac:dyDescent="0.3">
      <c r="A383" s="11">
        <v>382</v>
      </c>
      <c r="B383" s="6">
        <v>41741</v>
      </c>
      <c r="C383" s="1" t="s">
        <v>3</v>
      </c>
      <c r="D383" s="2" t="s">
        <v>125</v>
      </c>
      <c r="E383" s="2" t="s">
        <v>250</v>
      </c>
      <c r="F383" s="3">
        <v>735</v>
      </c>
      <c r="G383" s="15">
        <v>2</v>
      </c>
      <c r="H383" t="str">
        <f>VLOOKUP(D383,'Dati di Supporto'!$B$2:$C$104,2,FALSE)</f>
        <v>Veneto</v>
      </c>
      <c r="I383" t="str">
        <f>VLOOKUP(D383,'Dati di Supporto'!$B$2:$D$104,3,FALSE)</f>
        <v>TV</v>
      </c>
      <c r="J383" t="str">
        <f>VLOOKUP(H383,'Dati di Supporto'!$G$2:$H$21,2,FALSE)</f>
        <v>NORD</v>
      </c>
      <c r="K383">
        <f t="shared" si="5"/>
        <v>87</v>
      </c>
      <c r="L383" t="str">
        <f>_xlfn.IFS(Vendite!F383&lt;'Dati di Supporto'!$O$3,'Dati di Supporto'!$P$2,Vendite!F383&lt;'Dati di Supporto'!$O$4,'Dati di Supporto'!$P$3,Vendite!F383&lt;'Dati di Supporto'!$O$5,'Dati di Supporto'!$P$4,Vendite!F383&lt;'Dati di Supporto'!$O$6,'Dati di Supporto'!$P$5,Vendite!F383&gt;'Dati di Supporto'!$O$6,'Dati di Supporto'!$P$6)</f>
        <v>Fascia 2 (da 400 €  a meno di 800 €)</v>
      </c>
      <c r="M383" t="str">
        <f>_xlfn.IFS(G383='Dati di Supporto'!$O$10,'Dati di Supporto'!$P$10,Vendite!G383='Dati di Supporto'!$O$11,'Dati di Supporto'!$P$11,Vendite!G383='Dati di Supporto'!$O$12,'Dati di Supporto'!$P$12,Vendite!G383='Dati di Supporto'!$O$13,'Dati di Supporto'!$P$13,Vendite!G383='Dati di Supporto'!$O$14,'Dati di Supporto'!$P$14)</f>
        <v>Bonifico Bancario</v>
      </c>
    </row>
    <row r="384" spans="1:13" x14ac:dyDescent="0.3">
      <c r="A384" s="11">
        <v>383</v>
      </c>
      <c r="B384" s="6">
        <v>41732</v>
      </c>
      <c r="C384" s="1" t="s">
        <v>2</v>
      </c>
      <c r="D384" s="2" t="s">
        <v>116</v>
      </c>
      <c r="E384" s="2" t="s">
        <v>251</v>
      </c>
      <c r="F384" s="3">
        <v>153</v>
      </c>
      <c r="G384" s="15">
        <v>3</v>
      </c>
      <c r="H384" t="str">
        <f>VLOOKUP(D384,'Dati di Supporto'!$B$2:$C$104,2,FALSE)</f>
        <v>Toscana</v>
      </c>
      <c r="I384" t="str">
        <f>VLOOKUP(D384,'Dati di Supporto'!$B$2:$D$104,3,FALSE)</f>
        <v>SI</v>
      </c>
      <c r="J384" t="str">
        <f>VLOOKUP(H384,'Dati di Supporto'!$G$2:$H$21,2,FALSE)</f>
        <v>CENTRO</v>
      </c>
      <c r="K384">
        <f t="shared" si="5"/>
        <v>84</v>
      </c>
      <c r="L384" t="str">
        <f>_xlfn.IFS(Vendite!F384&lt;'Dati di Supporto'!$O$3,'Dati di Supporto'!$P$2,Vendite!F384&lt;'Dati di Supporto'!$O$4,'Dati di Supporto'!$P$3,Vendite!F384&lt;'Dati di Supporto'!$O$5,'Dati di Supporto'!$P$4,Vendite!F384&lt;'Dati di Supporto'!$O$6,'Dati di Supporto'!$P$5,Vendite!F384&gt;'Dati di Supporto'!$O$6,'Dati di Supporto'!$P$6)</f>
        <v>Fascia 1 (inferiore a 400 €)</v>
      </c>
      <c r="M384" t="str">
        <f>_xlfn.IFS(G384='Dati di Supporto'!$O$10,'Dati di Supporto'!$P$10,Vendite!G384='Dati di Supporto'!$O$11,'Dati di Supporto'!$P$11,Vendite!G384='Dati di Supporto'!$O$12,'Dati di Supporto'!$P$12,Vendite!G384='Dati di Supporto'!$O$13,'Dati di Supporto'!$P$13,Vendite!G384='Dati di Supporto'!$O$14,'Dati di Supporto'!$P$14)</f>
        <v>Carta di credito</v>
      </c>
    </row>
    <row r="385" spans="1:13" x14ac:dyDescent="0.3">
      <c r="A385" s="11">
        <v>384</v>
      </c>
      <c r="B385" s="6">
        <v>41727</v>
      </c>
      <c r="C385" s="1" t="s">
        <v>8</v>
      </c>
      <c r="D385" s="2" t="s">
        <v>103</v>
      </c>
      <c r="E385" s="2" t="s">
        <v>250</v>
      </c>
      <c r="F385" s="3">
        <v>1474</v>
      </c>
      <c r="G385" s="15">
        <v>1</v>
      </c>
      <c r="H385" t="str">
        <f>VLOOKUP(D385,'Dati di Supporto'!$B$2:$C$104,2,FALSE)</f>
        <v>Toscana</v>
      </c>
      <c r="I385" t="str">
        <f>VLOOKUP(D385,'Dati di Supporto'!$B$2:$D$104,3,FALSE)</f>
        <v>PT</v>
      </c>
      <c r="J385" t="str">
        <f>VLOOKUP(H385,'Dati di Supporto'!$G$2:$H$21,2,FALSE)</f>
        <v>CENTRO</v>
      </c>
      <c r="K385">
        <f t="shared" si="5"/>
        <v>70</v>
      </c>
      <c r="L385" t="str">
        <f>_xlfn.IFS(Vendite!F385&lt;'Dati di Supporto'!$O$3,'Dati di Supporto'!$P$2,Vendite!F385&lt;'Dati di Supporto'!$O$4,'Dati di Supporto'!$P$3,Vendite!F385&lt;'Dati di Supporto'!$O$5,'Dati di Supporto'!$P$4,Vendite!F385&lt;'Dati di Supporto'!$O$6,'Dati di Supporto'!$P$5,Vendite!F385&gt;'Dati di Supporto'!$O$6,'Dati di Supporto'!$P$6)</f>
        <v>Fascia 4 (da 1200 €  a meno di 1500 €)</v>
      </c>
      <c r="M385" t="str">
        <f>_xlfn.IFS(G385='Dati di Supporto'!$O$10,'Dati di Supporto'!$P$10,Vendite!G385='Dati di Supporto'!$O$11,'Dati di Supporto'!$P$11,Vendite!G385='Dati di Supporto'!$O$12,'Dati di Supporto'!$P$12,Vendite!G385='Dati di Supporto'!$O$13,'Dati di Supporto'!$P$13,Vendite!G385='Dati di Supporto'!$O$14,'Dati di Supporto'!$P$14)</f>
        <v>Contanti</v>
      </c>
    </row>
    <row r="386" spans="1:13" x14ac:dyDescent="0.3">
      <c r="A386" s="11">
        <v>385</v>
      </c>
      <c r="B386" s="6">
        <v>41776</v>
      </c>
      <c r="C386" s="1" t="s">
        <v>3</v>
      </c>
      <c r="D386" s="2" t="s">
        <v>112</v>
      </c>
      <c r="E386" s="2" t="s">
        <v>251</v>
      </c>
      <c r="F386" s="3">
        <v>1108</v>
      </c>
      <c r="G386" s="15">
        <v>2</v>
      </c>
      <c r="H386" t="str">
        <f>VLOOKUP(D386,'Dati di Supporto'!$B$2:$C$104,2,FALSE)</f>
        <v>Veneto</v>
      </c>
      <c r="I386" t="str">
        <f>VLOOKUP(D386,'Dati di Supporto'!$B$2:$D$104,3,FALSE)</f>
        <v>RO</v>
      </c>
      <c r="J386" t="str">
        <f>VLOOKUP(H386,'Dati di Supporto'!$G$2:$H$21,2,FALSE)</f>
        <v>NORD</v>
      </c>
      <c r="K386">
        <f t="shared" si="5"/>
        <v>87</v>
      </c>
      <c r="L386" t="str">
        <f>_xlfn.IFS(Vendite!F386&lt;'Dati di Supporto'!$O$3,'Dati di Supporto'!$P$2,Vendite!F386&lt;'Dati di Supporto'!$O$4,'Dati di Supporto'!$P$3,Vendite!F386&lt;'Dati di Supporto'!$O$5,'Dati di Supporto'!$P$4,Vendite!F386&lt;'Dati di Supporto'!$O$6,'Dati di Supporto'!$P$5,Vendite!F386&gt;'Dati di Supporto'!$O$6,'Dati di Supporto'!$P$6)</f>
        <v>Fascia 3 (da 800 €  a meno di 1200 €)</v>
      </c>
      <c r="M386" t="str">
        <f>_xlfn.IFS(G386='Dati di Supporto'!$O$10,'Dati di Supporto'!$P$10,Vendite!G386='Dati di Supporto'!$O$11,'Dati di Supporto'!$P$11,Vendite!G386='Dati di Supporto'!$O$12,'Dati di Supporto'!$P$12,Vendite!G386='Dati di Supporto'!$O$13,'Dati di Supporto'!$P$13,Vendite!G386='Dati di Supporto'!$O$14,'Dati di Supporto'!$P$14)</f>
        <v>Bonifico Bancario</v>
      </c>
    </row>
    <row r="387" spans="1:13" x14ac:dyDescent="0.3">
      <c r="A387" s="11">
        <v>386</v>
      </c>
      <c r="B387" s="6">
        <v>41766</v>
      </c>
      <c r="C387" s="1" t="s">
        <v>2</v>
      </c>
      <c r="D387" s="2" t="s">
        <v>98</v>
      </c>
      <c r="E387" s="2" t="s">
        <v>11</v>
      </c>
      <c r="F387" s="3">
        <v>1430</v>
      </c>
      <c r="G387" s="15">
        <v>4</v>
      </c>
      <c r="H387" t="str">
        <f>VLOOKUP(D387,'Dati di Supporto'!$B$2:$C$104,2,FALSE)</f>
        <v>Umbria</v>
      </c>
      <c r="I387" t="str">
        <f>VLOOKUP(D387,'Dati di Supporto'!$B$2:$D$104,3,FALSE)</f>
        <v>PG</v>
      </c>
      <c r="J387" t="str">
        <f>VLOOKUP(H387,'Dati di Supporto'!$G$2:$H$21,2,FALSE)</f>
        <v>CENTRO</v>
      </c>
      <c r="K387">
        <f t="shared" ref="K387:K450" si="6">COUNTIF($C$2:$C$501,C387)</f>
        <v>84</v>
      </c>
      <c r="L387" t="str">
        <f>_xlfn.IFS(Vendite!F387&lt;'Dati di Supporto'!$O$3,'Dati di Supporto'!$P$2,Vendite!F387&lt;'Dati di Supporto'!$O$4,'Dati di Supporto'!$P$3,Vendite!F387&lt;'Dati di Supporto'!$O$5,'Dati di Supporto'!$P$4,Vendite!F387&lt;'Dati di Supporto'!$O$6,'Dati di Supporto'!$P$5,Vendite!F387&gt;'Dati di Supporto'!$O$6,'Dati di Supporto'!$P$6)</f>
        <v>Fascia 4 (da 1200 €  a meno di 1500 €)</v>
      </c>
      <c r="M387" t="str">
        <f>_xlfn.IFS(G387='Dati di Supporto'!$O$10,'Dati di Supporto'!$P$10,Vendite!G387='Dati di Supporto'!$O$11,'Dati di Supporto'!$P$11,Vendite!G387='Dati di Supporto'!$O$12,'Dati di Supporto'!$P$12,Vendite!G387='Dati di Supporto'!$O$13,'Dati di Supporto'!$P$13,Vendite!G387='Dati di Supporto'!$O$14,'Dati di Supporto'!$P$14)</f>
        <v>Bollettino postale</v>
      </c>
    </row>
    <row r="388" spans="1:13" x14ac:dyDescent="0.3">
      <c r="A388" s="11">
        <v>387</v>
      </c>
      <c r="B388" s="6">
        <v>41680</v>
      </c>
      <c r="C388" s="1" t="s">
        <v>2</v>
      </c>
      <c r="D388" s="2" t="s">
        <v>111</v>
      </c>
      <c r="E388" s="2" t="s">
        <v>251</v>
      </c>
      <c r="F388" s="3">
        <v>788</v>
      </c>
      <c r="G388" s="15">
        <v>5</v>
      </c>
      <c r="H388" t="str">
        <f>VLOOKUP(D388,'Dati di Supporto'!$B$2:$C$104,2,FALSE)</f>
        <v>Lazio</v>
      </c>
      <c r="I388" t="str">
        <f>VLOOKUP(D388,'Dati di Supporto'!$B$2:$D$104,3,FALSE)</f>
        <v>RM</v>
      </c>
      <c r="J388" t="str">
        <f>VLOOKUP(H388,'Dati di Supporto'!$G$2:$H$21,2,FALSE)</f>
        <v>CENTRO</v>
      </c>
      <c r="K388">
        <f t="shared" si="6"/>
        <v>84</v>
      </c>
      <c r="L388" t="str">
        <f>_xlfn.IFS(Vendite!F388&lt;'Dati di Supporto'!$O$3,'Dati di Supporto'!$P$2,Vendite!F388&lt;'Dati di Supporto'!$O$4,'Dati di Supporto'!$P$3,Vendite!F388&lt;'Dati di Supporto'!$O$5,'Dati di Supporto'!$P$4,Vendite!F388&lt;'Dati di Supporto'!$O$6,'Dati di Supporto'!$P$5,Vendite!F388&gt;'Dati di Supporto'!$O$6,'Dati di Supporto'!$P$6)</f>
        <v>Fascia 2 (da 400 €  a meno di 800 €)</v>
      </c>
      <c r="M388" t="str">
        <f>_xlfn.IFS(G388='Dati di Supporto'!$O$10,'Dati di Supporto'!$P$10,Vendite!G388='Dati di Supporto'!$O$11,'Dati di Supporto'!$P$11,Vendite!G388='Dati di Supporto'!$O$12,'Dati di Supporto'!$P$12,Vendite!G388='Dati di Supporto'!$O$13,'Dati di Supporto'!$P$13,Vendite!G388='Dati di Supporto'!$O$14,'Dati di Supporto'!$P$14)</f>
        <v>Assegno Bancario</v>
      </c>
    </row>
    <row r="389" spans="1:13" x14ac:dyDescent="0.3">
      <c r="A389" s="11">
        <v>388</v>
      </c>
      <c r="B389" s="6">
        <v>41774</v>
      </c>
      <c r="C389" s="1" t="s">
        <v>2</v>
      </c>
      <c r="D389" s="2" t="s">
        <v>135</v>
      </c>
      <c r="E389" s="2" t="s">
        <v>251</v>
      </c>
      <c r="F389" s="3">
        <v>1362</v>
      </c>
      <c r="G389" s="15">
        <v>3</v>
      </c>
      <c r="H389" t="str">
        <f>VLOOKUP(D389,'Dati di Supporto'!$B$2:$C$104,2,FALSE)</f>
        <v>Lazio</v>
      </c>
      <c r="I389" t="str">
        <f>VLOOKUP(D389,'Dati di Supporto'!$B$2:$D$104,3,FALSE)</f>
        <v>VT</v>
      </c>
      <c r="J389" t="str">
        <f>VLOOKUP(H389,'Dati di Supporto'!$G$2:$H$21,2,FALSE)</f>
        <v>CENTRO</v>
      </c>
      <c r="K389">
        <f t="shared" si="6"/>
        <v>84</v>
      </c>
      <c r="L389" t="str">
        <f>_xlfn.IFS(Vendite!F389&lt;'Dati di Supporto'!$O$3,'Dati di Supporto'!$P$2,Vendite!F389&lt;'Dati di Supporto'!$O$4,'Dati di Supporto'!$P$3,Vendite!F389&lt;'Dati di Supporto'!$O$5,'Dati di Supporto'!$P$4,Vendite!F389&lt;'Dati di Supporto'!$O$6,'Dati di Supporto'!$P$5,Vendite!F389&gt;'Dati di Supporto'!$O$6,'Dati di Supporto'!$P$6)</f>
        <v>Fascia 4 (da 1200 €  a meno di 1500 €)</v>
      </c>
      <c r="M389" t="str">
        <f>_xlfn.IFS(G389='Dati di Supporto'!$O$10,'Dati di Supporto'!$P$10,Vendite!G389='Dati di Supporto'!$O$11,'Dati di Supporto'!$P$11,Vendite!G389='Dati di Supporto'!$O$12,'Dati di Supporto'!$P$12,Vendite!G389='Dati di Supporto'!$O$13,'Dati di Supporto'!$P$13,Vendite!G389='Dati di Supporto'!$O$14,'Dati di Supporto'!$P$14)</f>
        <v>Carta di credito</v>
      </c>
    </row>
    <row r="390" spans="1:13" x14ac:dyDescent="0.3">
      <c r="A390" s="11">
        <v>389</v>
      </c>
      <c r="B390" s="6">
        <v>41695</v>
      </c>
      <c r="C390" s="1" t="s">
        <v>8</v>
      </c>
      <c r="D390" s="2" t="s">
        <v>133</v>
      </c>
      <c r="E390" s="2" t="s">
        <v>10</v>
      </c>
      <c r="F390" s="3">
        <v>744</v>
      </c>
      <c r="G390" s="15">
        <v>3</v>
      </c>
      <c r="H390" t="str">
        <f>VLOOKUP(D390,'Dati di Supporto'!$B$2:$C$104,2,FALSE)</f>
        <v>Calabria</v>
      </c>
      <c r="I390" t="str">
        <f>VLOOKUP(D390,'Dati di Supporto'!$B$2:$D$104,3,FALSE)</f>
        <v>VV</v>
      </c>
      <c r="J390" t="str">
        <f>VLOOKUP(H390,'Dati di Supporto'!$G$2:$H$21,2,FALSE)</f>
        <v>SUD</v>
      </c>
      <c r="K390">
        <f t="shared" si="6"/>
        <v>70</v>
      </c>
      <c r="L390" t="str">
        <f>_xlfn.IFS(Vendite!F390&lt;'Dati di Supporto'!$O$3,'Dati di Supporto'!$P$2,Vendite!F390&lt;'Dati di Supporto'!$O$4,'Dati di Supporto'!$P$3,Vendite!F390&lt;'Dati di Supporto'!$O$5,'Dati di Supporto'!$P$4,Vendite!F390&lt;'Dati di Supporto'!$O$6,'Dati di Supporto'!$P$5,Vendite!F390&gt;'Dati di Supporto'!$O$6,'Dati di Supporto'!$P$6)</f>
        <v>Fascia 2 (da 400 €  a meno di 800 €)</v>
      </c>
      <c r="M390" t="str">
        <f>_xlfn.IFS(G390='Dati di Supporto'!$O$10,'Dati di Supporto'!$P$10,Vendite!G390='Dati di Supporto'!$O$11,'Dati di Supporto'!$P$11,Vendite!G390='Dati di Supporto'!$O$12,'Dati di Supporto'!$P$12,Vendite!G390='Dati di Supporto'!$O$13,'Dati di Supporto'!$P$13,Vendite!G390='Dati di Supporto'!$O$14,'Dati di Supporto'!$P$14)</f>
        <v>Carta di credito</v>
      </c>
    </row>
    <row r="391" spans="1:13" x14ac:dyDescent="0.3">
      <c r="A391" s="11">
        <v>390</v>
      </c>
      <c r="B391" s="6">
        <v>41775</v>
      </c>
      <c r="C391" s="1" t="s">
        <v>2</v>
      </c>
      <c r="D391" s="2" t="s">
        <v>129</v>
      </c>
      <c r="E391" s="2" t="s">
        <v>10</v>
      </c>
      <c r="F391" s="3">
        <v>1252</v>
      </c>
      <c r="G391" s="15">
        <v>2</v>
      </c>
      <c r="H391" t="str">
        <f>VLOOKUP(D391,'Dati di Supporto'!$B$2:$C$104,2,FALSE)</f>
        <v>Veneto</v>
      </c>
      <c r="I391" t="str">
        <f>VLOOKUP(D391,'Dati di Supporto'!$B$2:$D$104,3,FALSE)</f>
        <v>VE</v>
      </c>
      <c r="J391" t="str">
        <f>VLOOKUP(H391,'Dati di Supporto'!$G$2:$H$21,2,FALSE)</f>
        <v>NORD</v>
      </c>
      <c r="K391">
        <f t="shared" si="6"/>
        <v>84</v>
      </c>
      <c r="L391" t="str">
        <f>_xlfn.IFS(Vendite!F391&lt;'Dati di Supporto'!$O$3,'Dati di Supporto'!$P$2,Vendite!F391&lt;'Dati di Supporto'!$O$4,'Dati di Supporto'!$P$3,Vendite!F391&lt;'Dati di Supporto'!$O$5,'Dati di Supporto'!$P$4,Vendite!F391&lt;'Dati di Supporto'!$O$6,'Dati di Supporto'!$P$5,Vendite!F391&gt;'Dati di Supporto'!$O$6,'Dati di Supporto'!$P$6)</f>
        <v>Fascia 4 (da 1200 €  a meno di 1500 €)</v>
      </c>
      <c r="M391" t="str">
        <f>_xlfn.IFS(G391='Dati di Supporto'!$O$10,'Dati di Supporto'!$P$10,Vendite!G391='Dati di Supporto'!$O$11,'Dati di Supporto'!$P$11,Vendite!G391='Dati di Supporto'!$O$12,'Dati di Supporto'!$P$12,Vendite!G391='Dati di Supporto'!$O$13,'Dati di Supporto'!$P$13,Vendite!G391='Dati di Supporto'!$O$14,'Dati di Supporto'!$P$14)</f>
        <v>Bonifico Bancario</v>
      </c>
    </row>
    <row r="392" spans="1:13" x14ac:dyDescent="0.3">
      <c r="A392" s="11">
        <v>391</v>
      </c>
      <c r="B392" s="6">
        <v>41762</v>
      </c>
      <c r="C392" s="1" t="s">
        <v>2</v>
      </c>
      <c r="D392" s="2" t="s">
        <v>115</v>
      </c>
      <c r="E392" s="2" t="s">
        <v>251</v>
      </c>
      <c r="F392" s="3">
        <v>1378</v>
      </c>
      <c r="G392" s="15">
        <v>3</v>
      </c>
      <c r="H392" t="str">
        <f>VLOOKUP(D392,'Dati di Supporto'!$B$2:$C$104,2,FALSE)</f>
        <v>Liguria</v>
      </c>
      <c r="I392" t="str">
        <f>VLOOKUP(D392,'Dati di Supporto'!$B$2:$D$104,3,FALSE)</f>
        <v>SV</v>
      </c>
      <c r="J392" t="str">
        <f>VLOOKUP(H392,'Dati di Supporto'!$G$2:$H$21,2,FALSE)</f>
        <v>NORD</v>
      </c>
      <c r="K392">
        <f t="shared" si="6"/>
        <v>84</v>
      </c>
      <c r="L392" t="str">
        <f>_xlfn.IFS(Vendite!F392&lt;'Dati di Supporto'!$O$3,'Dati di Supporto'!$P$2,Vendite!F392&lt;'Dati di Supporto'!$O$4,'Dati di Supporto'!$P$3,Vendite!F392&lt;'Dati di Supporto'!$O$5,'Dati di Supporto'!$P$4,Vendite!F392&lt;'Dati di Supporto'!$O$6,'Dati di Supporto'!$P$5,Vendite!F392&gt;'Dati di Supporto'!$O$6,'Dati di Supporto'!$P$6)</f>
        <v>Fascia 4 (da 1200 €  a meno di 1500 €)</v>
      </c>
      <c r="M392" t="str">
        <f>_xlfn.IFS(G392='Dati di Supporto'!$O$10,'Dati di Supporto'!$P$10,Vendite!G392='Dati di Supporto'!$O$11,'Dati di Supporto'!$P$11,Vendite!G392='Dati di Supporto'!$O$12,'Dati di Supporto'!$P$12,Vendite!G392='Dati di Supporto'!$O$13,'Dati di Supporto'!$P$13,Vendite!G392='Dati di Supporto'!$O$14,'Dati di Supporto'!$P$14)</f>
        <v>Carta di credito</v>
      </c>
    </row>
    <row r="393" spans="1:13" x14ac:dyDescent="0.3">
      <c r="A393" s="11">
        <v>392</v>
      </c>
      <c r="B393" s="6">
        <v>41682</v>
      </c>
      <c r="C393" s="1" t="s">
        <v>1</v>
      </c>
      <c r="D393" s="2" t="s">
        <v>98</v>
      </c>
      <c r="E393" s="2" t="s">
        <v>10</v>
      </c>
      <c r="F393" s="3">
        <v>192</v>
      </c>
      <c r="G393" s="15">
        <v>5</v>
      </c>
      <c r="H393" t="str">
        <f>VLOOKUP(D393,'Dati di Supporto'!$B$2:$C$104,2,FALSE)</f>
        <v>Umbria</v>
      </c>
      <c r="I393" t="str">
        <f>VLOOKUP(D393,'Dati di Supporto'!$B$2:$D$104,3,FALSE)</f>
        <v>PG</v>
      </c>
      <c r="J393" t="str">
        <f>VLOOKUP(H393,'Dati di Supporto'!$G$2:$H$21,2,FALSE)</f>
        <v>CENTRO</v>
      </c>
      <c r="K393">
        <f t="shared" si="6"/>
        <v>96</v>
      </c>
      <c r="L393" t="str">
        <f>_xlfn.IFS(Vendite!F393&lt;'Dati di Supporto'!$O$3,'Dati di Supporto'!$P$2,Vendite!F393&lt;'Dati di Supporto'!$O$4,'Dati di Supporto'!$P$3,Vendite!F393&lt;'Dati di Supporto'!$O$5,'Dati di Supporto'!$P$4,Vendite!F393&lt;'Dati di Supporto'!$O$6,'Dati di Supporto'!$P$5,Vendite!F393&gt;'Dati di Supporto'!$O$6,'Dati di Supporto'!$P$6)</f>
        <v>Fascia 1 (inferiore a 400 €)</v>
      </c>
      <c r="M393" t="str">
        <f>_xlfn.IFS(G393='Dati di Supporto'!$O$10,'Dati di Supporto'!$P$10,Vendite!G393='Dati di Supporto'!$O$11,'Dati di Supporto'!$P$11,Vendite!G393='Dati di Supporto'!$O$12,'Dati di Supporto'!$P$12,Vendite!G393='Dati di Supporto'!$O$13,'Dati di Supporto'!$P$13,Vendite!G393='Dati di Supporto'!$O$14,'Dati di Supporto'!$P$14)</f>
        <v>Assegno Bancario</v>
      </c>
    </row>
    <row r="394" spans="1:13" x14ac:dyDescent="0.3">
      <c r="A394" s="11">
        <v>393</v>
      </c>
      <c r="B394" s="6">
        <v>41814</v>
      </c>
      <c r="C394" s="1" t="s">
        <v>248</v>
      </c>
      <c r="D394" s="2" t="s">
        <v>118</v>
      </c>
      <c r="E394" s="2" t="s">
        <v>251</v>
      </c>
      <c r="F394" s="3">
        <v>1876</v>
      </c>
      <c r="G394" s="15">
        <v>2</v>
      </c>
      <c r="H394" t="str">
        <f>VLOOKUP(D394,'Dati di Supporto'!$B$2:$C$104,2,FALSE)</f>
        <v>Lombardia</v>
      </c>
      <c r="I394" t="str">
        <f>VLOOKUP(D394,'Dati di Supporto'!$B$2:$D$104,3,FALSE)</f>
        <v>SO</v>
      </c>
      <c r="J394" t="str">
        <f>VLOOKUP(H394,'Dati di Supporto'!$G$2:$H$21,2,FALSE)</f>
        <v>NORD</v>
      </c>
      <c r="K394">
        <f t="shared" si="6"/>
        <v>80</v>
      </c>
      <c r="L394" t="str">
        <f>_xlfn.IFS(Vendite!F394&lt;'Dati di Supporto'!$O$3,'Dati di Supporto'!$P$2,Vendite!F394&lt;'Dati di Supporto'!$O$4,'Dati di Supporto'!$P$3,Vendite!F394&lt;'Dati di Supporto'!$O$5,'Dati di Supporto'!$P$4,Vendite!F394&lt;'Dati di Supporto'!$O$6,'Dati di Supporto'!$P$5,Vendite!F394&gt;'Dati di Supporto'!$O$6,'Dati di Supporto'!$P$6)</f>
        <v>Fascia 5 (da 1500 € e oltre)</v>
      </c>
      <c r="M394" t="str">
        <f>_xlfn.IFS(G394='Dati di Supporto'!$O$10,'Dati di Supporto'!$P$10,Vendite!G394='Dati di Supporto'!$O$11,'Dati di Supporto'!$P$11,Vendite!G394='Dati di Supporto'!$O$12,'Dati di Supporto'!$P$12,Vendite!G394='Dati di Supporto'!$O$13,'Dati di Supporto'!$P$13,Vendite!G394='Dati di Supporto'!$O$14,'Dati di Supporto'!$P$14)</f>
        <v>Bonifico Bancario</v>
      </c>
    </row>
    <row r="395" spans="1:13" x14ac:dyDescent="0.3">
      <c r="A395" s="11">
        <v>394</v>
      </c>
      <c r="B395" s="6">
        <v>41751</v>
      </c>
      <c r="C395" s="1" t="s">
        <v>2</v>
      </c>
      <c r="D395" s="2" t="s">
        <v>211</v>
      </c>
      <c r="E395" s="2" t="s">
        <v>10</v>
      </c>
      <c r="F395" s="3">
        <v>1640</v>
      </c>
      <c r="G395" s="15">
        <v>1</v>
      </c>
      <c r="H395" t="str">
        <f>VLOOKUP(D395,'Dati di Supporto'!$B$2:$C$104,2,FALSE)</f>
        <v>Calabria</v>
      </c>
      <c r="I395" t="str">
        <f>VLOOKUP(D395,'Dati di Supporto'!$B$2:$D$104,3,FALSE)</f>
        <v>RC</v>
      </c>
      <c r="J395" t="str">
        <f>VLOOKUP(H395,'Dati di Supporto'!$G$2:$H$21,2,FALSE)</f>
        <v>SUD</v>
      </c>
      <c r="K395">
        <f t="shared" si="6"/>
        <v>84</v>
      </c>
      <c r="L395" t="str">
        <f>_xlfn.IFS(Vendite!F395&lt;'Dati di Supporto'!$O$3,'Dati di Supporto'!$P$2,Vendite!F395&lt;'Dati di Supporto'!$O$4,'Dati di Supporto'!$P$3,Vendite!F395&lt;'Dati di Supporto'!$O$5,'Dati di Supporto'!$P$4,Vendite!F395&lt;'Dati di Supporto'!$O$6,'Dati di Supporto'!$P$5,Vendite!F395&gt;'Dati di Supporto'!$O$6,'Dati di Supporto'!$P$6)</f>
        <v>Fascia 5 (da 1500 € e oltre)</v>
      </c>
      <c r="M395" t="str">
        <f>_xlfn.IFS(G395='Dati di Supporto'!$O$10,'Dati di Supporto'!$P$10,Vendite!G395='Dati di Supporto'!$O$11,'Dati di Supporto'!$P$11,Vendite!G395='Dati di Supporto'!$O$12,'Dati di Supporto'!$P$12,Vendite!G395='Dati di Supporto'!$O$13,'Dati di Supporto'!$P$13,Vendite!G395='Dati di Supporto'!$O$14,'Dati di Supporto'!$P$14)</f>
        <v>Contanti</v>
      </c>
    </row>
    <row r="396" spans="1:13" x14ac:dyDescent="0.3">
      <c r="A396" s="11">
        <v>395</v>
      </c>
      <c r="B396" s="6">
        <v>41686</v>
      </c>
      <c r="C396" s="1" t="s">
        <v>8</v>
      </c>
      <c r="D396" s="2" t="s">
        <v>130</v>
      </c>
      <c r="E396" s="2" t="s">
        <v>252</v>
      </c>
      <c r="F396" s="3">
        <v>848</v>
      </c>
      <c r="G396" s="15">
        <v>4</v>
      </c>
      <c r="H396" t="str">
        <f>VLOOKUP(D396,'Dati di Supporto'!$B$2:$C$104,2,FALSE)</f>
        <v>Piemonte</v>
      </c>
      <c r="I396" t="str">
        <f>VLOOKUP(D396,'Dati di Supporto'!$B$2:$D$104,3,FALSE)</f>
        <v>VB</v>
      </c>
      <c r="J396" t="str">
        <f>VLOOKUP(H396,'Dati di Supporto'!$G$2:$H$21,2,FALSE)</f>
        <v>NORD</v>
      </c>
      <c r="K396">
        <f t="shared" si="6"/>
        <v>70</v>
      </c>
      <c r="L396" t="str">
        <f>_xlfn.IFS(Vendite!F396&lt;'Dati di Supporto'!$O$3,'Dati di Supporto'!$P$2,Vendite!F396&lt;'Dati di Supporto'!$O$4,'Dati di Supporto'!$P$3,Vendite!F396&lt;'Dati di Supporto'!$O$5,'Dati di Supporto'!$P$4,Vendite!F396&lt;'Dati di Supporto'!$O$6,'Dati di Supporto'!$P$5,Vendite!F396&gt;'Dati di Supporto'!$O$6,'Dati di Supporto'!$P$6)</f>
        <v>Fascia 3 (da 800 €  a meno di 1200 €)</v>
      </c>
      <c r="M396" t="str">
        <f>_xlfn.IFS(G396='Dati di Supporto'!$O$10,'Dati di Supporto'!$P$10,Vendite!G396='Dati di Supporto'!$O$11,'Dati di Supporto'!$P$11,Vendite!G396='Dati di Supporto'!$O$12,'Dati di Supporto'!$P$12,Vendite!G396='Dati di Supporto'!$O$13,'Dati di Supporto'!$P$13,Vendite!G396='Dati di Supporto'!$O$14,'Dati di Supporto'!$P$14)</f>
        <v>Bollettino postale</v>
      </c>
    </row>
    <row r="397" spans="1:13" x14ac:dyDescent="0.3">
      <c r="A397" s="11">
        <v>396</v>
      </c>
      <c r="B397" s="6">
        <v>41651</v>
      </c>
      <c r="C397" s="1" t="s">
        <v>1</v>
      </c>
      <c r="D397" s="2" t="s">
        <v>129</v>
      </c>
      <c r="E397" s="2" t="s">
        <v>10</v>
      </c>
      <c r="F397" s="3">
        <v>692</v>
      </c>
      <c r="G397" s="15">
        <v>1</v>
      </c>
      <c r="H397" t="str">
        <f>VLOOKUP(D397,'Dati di Supporto'!$B$2:$C$104,2,FALSE)</f>
        <v>Veneto</v>
      </c>
      <c r="I397" t="str">
        <f>VLOOKUP(D397,'Dati di Supporto'!$B$2:$D$104,3,FALSE)</f>
        <v>VE</v>
      </c>
      <c r="J397" t="str">
        <f>VLOOKUP(H397,'Dati di Supporto'!$G$2:$H$21,2,FALSE)</f>
        <v>NORD</v>
      </c>
      <c r="K397">
        <f t="shared" si="6"/>
        <v>96</v>
      </c>
      <c r="L397" t="str">
        <f>_xlfn.IFS(Vendite!F397&lt;'Dati di Supporto'!$O$3,'Dati di Supporto'!$P$2,Vendite!F397&lt;'Dati di Supporto'!$O$4,'Dati di Supporto'!$P$3,Vendite!F397&lt;'Dati di Supporto'!$O$5,'Dati di Supporto'!$P$4,Vendite!F397&lt;'Dati di Supporto'!$O$6,'Dati di Supporto'!$P$5,Vendite!F397&gt;'Dati di Supporto'!$O$6,'Dati di Supporto'!$P$6)</f>
        <v>Fascia 2 (da 400 €  a meno di 800 €)</v>
      </c>
      <c r="M397" t="str">
        <f>_xlfn.IFS(G397='Dati di Supporto'!$O$10,'Dati di Supporto'!$P$10,Vendite!G397='Dati di Supporto'!$O$11,'Dati di Supporto'!$P$11,Vendite!G397='Dati di Supporto'!$O$12,'Dati di Supporto'!$P$12,Vendite!G397='Dati di Supporto'!$O$13,'Dati di Supporto'!$P$13,Vendite!G397='Dati di Supporto'!$O$14,'Dati di Supporto'!$P$14)</f>
        <v>Contanti</v>
      </c>
    </row>
    <row r="398" spans="1:13" x14ac:dyDescent="0.3">
      <c r="A398" s="11">
        <v>397</v>
      </c>
      <c r="B398" s="6">
        <v>41646</v>
      </c>
      <c r="C398" s="1" t="s">
        <v>248</v>
      </c>
      <c r="D398" s="2" t="s">
        <v>106</v>
      </c>
      <c r="E398" s="2" t="s">
        <v>10</v>
      </c>
      <c r="F398" s="3">
        <v>549</v>
      </c>
      <c r="G398" s="15">
        <v>1</v>
      </c>
      <c r="H398" t="str">
        <f>VLOOKUP(D398,'Dati di Supporto'!$B$2:$C$104,2,FALSE)</f>
        <v>Toscana</v>
      </c>
      <c r="I398" t="str">
        <f>VLOOKUP(D398,'Dati di Supporto'!$B$2:$D$104,3,FALSE)</f>
        <v>PO</v>
      </c>
      <c r="J398" t="str">
        <f>VLOOKUP(H398,'Dati di Supporto'!$G$2:$H$21,2,FALSE)</f>
        <v>CENTRO</v>
      </c>
      <c r="K398">
        <f t="shared" si="6"/>
        <v>80</v>
      </c>
      <c r="L398" t="str">
        <f>_xlfn.IFS(Vendite!F398&lt;'Dati di Supporto'!$O$3,'Dati di Supporto'!$P$2,Vendite!F398&lt;'Dati di Supporto'!$O$4,'Dati di Supporto'!$P$3,Vendite!F398&lt;'Dati di Supporto'!$O$5,'Dati di Supporto'!$P$4,Vendite!F398&lt;'Dati di Supporto'!$O$6,'Dati di Supporto'!$P$5,Vendite!F398&gt;'Dati di Supporto'!$O$6,'Dati di Supporto'!$P$6)</f>
        <v>Fascia 2 (da 400 €  a meno di 800 €)</v>
      </c>
      <c r="M398" t="str">
        <f>_xlfn.IFS(G398='Dati di Supporto'!$O$10,'Dati di Supporto'!$P$10,Vendite!G398='Dati di Supporto'!$O$11,'Dati di Supporto'!$P$11,Vendite!G398='Dati di Supporto'!$O$12,'Dati di Supporto'!$P$12,Vendite!G398='Dati di Supporto'!$O$13,'Dati di Supporto'!$P$13,Vendite!G398='Dati di Supporto'!$O$14,'Dati di Supporto'!$P$14)</f>
        <v>Contanti</v>
      </c>
    </row>
    <row r="399" spans="1:13" x14ac:dyDescent="0.3">
      <c r="A399" s="11">
        <v>398</v>
      </c>
      <c r="B399" s="6">
        <v>41694</v>
      </c>
      <c r="C399" s="1" t="s">
        <v>2</v>
      </c>
      <c r="D399" s="2" t="s">
        <v>108</v>
      </c>
      <c r="E399" s="2" t="s">
        <v>251</v>
      </c>
      <c r="F399" s="3">
        <v>1482</v>
      </c>
      <c r="G399" s="15">
        <v>2</v>
      </c>
      <c r="H399" t="str">
        <f>VLOOKUP(D399,'Dati di Supporto'!$B$2:$C$104,2,FALSE)</f>
        <v>Emilia-Romagna</v>
      </c>
      <c r="I399" t="str">
        <f>VLOOKUP(D399,'Dati di Supporto'!$B$2:$D$104,3,FALSE)</f>
        <v>RA</v>
      </c>
      <c r="J399" t="str">
        <f>VLOOKUP(H399,'Dati di Supporto'!$G$2:$H$21,2,FALSE)</f>
        <v>NORD</v>
      </c>
      <c r="K399">
        <f t="shared" si="6"/>
        <v>84</v>
      </c>
      <c r="L399" t="str">
        <f>_xlfn.IFS(Vendite!F399&lt;'Dati di Supporto'!$O$3,'Dati di Supporto'!$P$2,Vendite!F399&lt;'Dati di Supporto'!$O$4,'Dati di Supporto'!$P$3,Vendite!F399&lt;'Dati di Supporto'!$O$5,'Dati di Supporto'!$P$4,Vendite!F399&lt;'Dati di Supporto'!$O$6,'Dati di Supporto'!$P$5,Vendite!F399&gt;'Dati di Supporto'!$O$6,'Dati di Supporto'!$P$6)</f>
        <v>Fascia 4 (da 1200 €  a meno di 1500 €)</v>
      </c>
      <c r="M399" t="str">
        <f>_xlfn.IFS(G399='Dati di Supporto'!$O$10,'Dati di Supporto'!$P$10,Vendite!G399='Dati di Supporto'!$O$11,'Dati di Supporto'!$P$11,Vendite!G399='Dati di Supporto'!$O$12,'Dati di Supporto'!$P$12,Vendite!G399='Dati di Supporto'!$O$13,'Dati di Supporto'!$P$13,Vendite!G399='Dati di Supporto'!$O$14,'Dati di Supporto'!$P$14)</f>
        <v>Bonifico Bancario</v>
      </c>
    </row>
    <row r="400" spans="1:13" x14ac:dyDescent="0.3">
      <c r="A400" s="11">
        <v>399</v>
      </c>
      <c r="B400" s="6">
        <v>41700</v>
      </c>
      <c r="C400" s="1" t="s">
        <v>1</v>
      </c>
      <c r="D400" s="2" t="s">
        <v>102</v>
      </c>
      <c r="E400" s="2" t="s">
        <v>250</v>
      </c>
      <c r="F400" s="3">
        <v>3</v>
      </c>
      <c r="G400" s="15">
        <v>5</v>
      </c>
      <c r="H400" t="str">
        <f>VLOOKUP(D400,'Dati di Supporto'!$B$2:$C$104,2,FALSE)</f>
        <v>Toscana</v>
      </c>
      <c r="I400" t="str">
        <f>VLOOKUP(D400,'Dati di Supporto'!$B$2:$D$104,3,FALSE)</f>
        <v>PI</v>
      </c>
      <c r="J400" t="str">
        <f>VLOOKUP(H400,'Dati di Supporto'!$G$2:$H$21,2,FALSE)</f>
        <v>CENTRO</v>
      </c>
      <c r="K400">
        <f t="shared" si="6"/>
        <v>96</v>
      </c>
      <c r="L400" t="str">
        <f>_xlfn.IFS(Vendite!F400&lt;'Dati di Supporto'!$O$3,'Dati di Supporto'!$P$2,Vendite!F400&lt;'Dati di Supporto'!$O$4,'Dati di Supporto'!$P$3,Vendite!F400&lt;'Dati di Supporto'!$O$5,'Dati di Supporto'!$P$4,Vendite!F400&lt;'Dati di Supporto'!$O$6,'Dati di Supporto'!$P$5,Vendite!F400&gt;'Dati di Supporto'!$O$6,'Dati di Supporto'!$P$6)</f>
        <v>Fascia 1 (inferiore a 400 €)</v>
      </c>
      <c r="M400" t="str">
        <f>_xlfn.IFS(G400='Dati di Supporto'!$O$10,'Dati di Supporto'!$P$10,Vendite!G400='Dati di Supporto'!$O$11,'Dati di Supporto'!$P$11,Vendite!G400='Dati di Supporto'!$O$12,'Dati di Supporto'!$P$12,Vendite!G400='Dati di Supporto'!$O$13,'Dati di Supporto'!$P$13,Vendite!G400='Dati di Supporto'!$O$14,'Dati di Supporto'!$P$14)</f>
        <v>Assegno Bancario</v>
      </c>
    </row>
    <row r="401" spans="1:13" x14ac:dyDescent="0.3">
      <c r="A401" s="11">
        <v>400</v>
      </c>
      <c r="B401" s="6">
        <v>41748</v>
      </c>
      <c r="C401" s="1" t="s">
        <v>8</v>
      </c>
      <c r="D401" s="2" t="s">
        <v>125</v>
      </c>
      <c r="E401" s="2" t="s">
        <v>251</v>
      </c>
      <c r="F401" s="3">
        <v>467</v>
      </c>
      <c r="G401" s="15">
        <v>3</v>
      </c>
      <c r="H401" t="str">
        <f>VLOOKUP(D401,'Dati di Supporto'!$B$2:$C$104,2,FALSE)</f>
        <v>Veneto</v>
      </c>
      <c r="I401" t="str">
        <f>VLOOKUP(D401,'Dati di Supporto'!$B$2:$D$104,3,FALSE)</f>
        <v>TV</v>
      </c>
      <c r="J401" t="str">
        <f>VLOOKUP(H401,'Dati di Supporto'!$G$2:$H$21,2,FALSE)</f>
        <v>NORD</v>
      </c>
      <c r="K401">
        <f t="shared" si="6"/>
        <v>70</v>
      </c>
      <c r="L401" t="str">
        <f>_xlfn.IFS(Vendite!F401&lt;'Dati di Supporto'!$O$3,'Dati di Supporto'!$P$2,Vendite!F401&lt;'Dati di Supporto'!$O$4,'Dati di Supporto'!$P$3,Vendite!F401&lt;'Dati di Supporto'!$O$5,'Dati di Supporto'!$P$4,Vendite!F401&lt;'Dati di Supporto'!$O$6,'Dati di Supporto'!$P$5,Vendite!F401&gt;'Dati di Supporto'!$O$6,'Dati di Supporto'!$P$6)</f>
        <v>Fascia 2 (da 400 €  a meno di 800 €)</v>
      </c>
      <c r="M401" t="str">
        <f>_xlfn.IFS(G401='Dati di Supporto'!$O$10,'Dati di Supporto'!$P$10,Vendite!G401='Dati di Supporto'!$O$11,'Dati di Supporto'!$P$11,Vendite!G401='Dati di Supporto'!$O$12,'Dati di Supporto'!$P$12,Vendite!G401='Dati di Supporto'!$O$13,'Dati di Supporto'!$P$13,Vendite!G401='Dati di Supporto'!$O$14,'Dati di Supporto'!$P$14)</f>
        <v>Carta di credito</v>
      </c>
    </row>
    <row r="402" spans="1:13" x14ac:dyDescent="0.3">
      <c r="A402" s="11">
        <v>401</v>
      </c>
      <c r="B402" s="6">
        <v>41811</v>
      </c>
      <c r="C402" s="1" t="s">
        <v>1</v>
      </c>
      <c r="D402" s="2" t="s">
        <v>110</v>
      </c>
      <c r="E402" s="2" t="s">
        <v>11</v>
      </c>
      <c r="F402" s="3">
        <v>1746</v>
      </c>
      <c r="G402" s="15">
        <v>3</v>
      </c>
      <c r="H402" t="str">
        <f>VLOOKUP(D402,'Dati di Supporto'!$B$2:$C$104,2,FALSE)</f>
        <v>Emilia-Romagna</v>
      </c>
      <c r="I402" t="str">
        <f>VLOOKUP(D402,'Dati di Supporto'!$B$2:$D$104,3,FALSE)</f>
        <v>RN</v>
      </c>
      <c r="J402" t="str">
        <f>VLOOKUP(H402,'Dati di Supporto'!$G$2:$H$21,2,FALSE)</f>
        <v>NORD</v>
      </c>
      <c r="K402">
        <f t="shared" si="6"/>
        <v>96</v>
      </c>
      <c r="L402" t="str">
        <f>_xlfn.IFS(Vendite!F402&lt;'Dati di Supporto'!$O$3,'Dati di Supporto'!$P$2,Vendite!F402&lt;'Dati di Supporto'!$O$4,'Dati di Supporto'!$P$3,Vendite!F402&lt;'Dati di Supporto'!$O$5,'Dati di Supporto'!$P$4,Vendite!F402&lt;'Dati di Supporto'!$O$6,'Dati di Supporto'!$P$5,Vendite!F402&gt;'Dati di Supporto'!$O$6,'Dati di Supporto'!$P$6)</f>
        <v>Fascia 5 (da 1500 € e oltre)</v>
      </c>
      <c r="M402" t="str">
        <f>_xlfn.IFS(G402='Dati di Supporto'!$O$10,'Dati di Supporto'!$P$10,Vendite!G402='Dati di Supporto'!$O$11,'Dati di Supporto'!$P$11,Vendite!G402='Dati di Supporto'!$O$12,'Dati di Supporto'!$P$12,Vendite!G402='Dati di Supporto'!$O$13,'Dati di Supporto'!$P$13,Vendite!G402='Dati di Supporto'!$O$14,'Dati di Supporto'!$P$14)</f>
        <v>Carta di credito</v>
      </c>
    </row>
    <row r="403" spans="1:13" x14ac:dyDescent="0.3">
      <c r="A403" s="11">
        <v>402</v>
      </c>
      <c r="B403" s="6">
        <v>41649</v>
      </c>
      <c r="C403" s="1" t="s">
        <v>248</v>
      </c>
      <c r="D403" s="2" t="s">
        <v>109</v>
      </c>
      <c r="E403" s="2" t="s">
        <v>11</v>
      </c>
      <c r="F403" s="3">
        <v>681</v>
      </c>
      <c r="G403" s="15">
        <v>4</v>
      </c>
      <c r="H403" t="str">
        <f>VLOOKUP(D403,'Dati di Supporto'!$B$2:$C$104,2,FALSE)</f>
        <v>Lazio</v>
      </c>
      <c r="I403" t="str">
        <f>VLOOKUP(D403,'Dati di Supporto'!$B$2:$D$104,3,FALSE)</f>
        <v>RI</v>
      </c>
      <c r="J403" t="str">
        <f>VLOOKUP(H403,'Dati di Supporto'!$G$2:$H$21,2,FALSE)</f>
        <v>CENTRO</v>
      </c>
      <c r="K403">
        <f t="shared" si="6"/>
        <v>80</v>
      </c>
      <c r="L403" t="str">
        <f>_xlfn.IFS(Vendite!F403&lt;'Dati di Supporto'!$O$3,'Dati di Supporto'!$P$2,Vendite!F403&lt;'Dati di Supporto'!$O$4,'Dati di Supporto'!$P$3,Vendite!F403&lt;'Dati di Supporto'!$O$5,'Dati di Supporto'!$P$4,Vendite!F403&lt;'Dati di Supporto'!$O$6,'Dati di Supporto'!$P$5,Vendite!F403&gt;'Dati di Supporto'!$O$6,'Dati di Supporto'!$P$6)</f>
        <v>Fascia 2 (da 400 €  a meno di 800 €)</v>
      </c>
      <c r="M403" t="str">
        <f>_xlfn.IFS(G403='Dati di Supporto'!$O$10,'Dati di Supporto'!$P$10,Vendite!G403='Dati di Supporto'!$O$11,'Dati di Supporto'!$P$11,Vendite!G403='Dati di Supporto'!$O$12,'Dati di Supporto'!$P$12,Vendite!G403='Dati di Supporto'!$O$13,'Dati di Supporto'!$P$13,Vendite!G403='Dati di Supporto'!$O$14,'Dati di Supporto'!$P$14)</f>
        <v>Bollettino postale</v>
      </c>
    </row>
    <row r="404" spans="1:13" x14ac:dyDescent="0.3">
      <c r="A404" s="11">
        <v>403</v>
      </c>
      <c r="B404" s="6">
        <v>41725</v>
      </c>
      <c r="C404" s="1" t="s">
        <v>8</v>
      </c>
      <c r="D404" s="2" t="s">
        <v>108</v>
      </c>
      <c r="E404" s="2" t="s">
        <v>250</v>
      </c>
      <c r="F404" s="3">
        <v>136</v>
      </c>
      <c r="G404" s="15">
        <v>3</v>
      </c>
      <c r="H404" t="str">
        <f>VLOOKUP(D404,'Dati di Supporto'!$B$2:$C$104,2,FALSE)</f>
        <v>Emilia-Romagna</v>
      </c>
      <c r="I404" t="str">
        <f>VLOOKUP(D404,'Dati di Supporto'!$B$2:$D$104,3,FALSE)</f>
        <v>RA</v>
      </c>
      <c r="J404" t="str">
        <f>VLOOKUP(H404,'Dati di Supporto'!$G$2:$H$21,2,FALSE)</f>
        <v>NORD</v>
      </c>
      <c r="K404">
        <f t="shared" si="6"/>
        <v>70</v>
      </c>
      <c r="L404" t="str">
        <f>_xlfn.IFS(Vendite!F404&lt;'Dati di Supporto'!$O$3,'Dati di Supporto'!$P$2,Vendite!F404&lt;'Dati di Supporto'!$O$4,'Dati di Supporto'!$P$3,Vendite!F404&lt;'Dati di Supporto'!$O$5,'Dati di Supporto'!$P$4,Vendite!F404&lt;'Dati di Supporto'!$O$6,'Dati di Supporto'!$P$5,Vendite!F404&gt;'Dati di Supporto'!$O$6,'Dati di Supporto'!$P$6)</f>
        <v>Fascia 1 (inferiore a 400 €)</v>
      </c>
      <c r="M404" t="str">
        <f>_xlfn.IFS(G404='Dati di Supporto'!$O$10,'Dati di Supporto'!$P$10,Vendite!G404='Dati di Supporto'!$O$11,'Dati di Supporto'!$P$11,Vendite!G404='Dati di Supporto'!$O$12,'Dati di Supporto'!$P$12,Vendite!G404='Dati di Supporto'!$O$13,'Dati di Supporto'!$P$13,Vendite!G404='Dati di Supporto'!$O$14,'Dati di Supporto'!$P$14)</f>
        <v>Carta di credito</v>
      </c>
    </row>
    <row r="405" spans="1:13" x14ac:dyDescent="0.3">
      <c r="A405" s="11">
        <v>404</v>
      </c>
      <c r="B405" s="6">
        <v>41792</v>
      </c>
      <c r="C405" s="1" t="s">
        <v>2</v>
      </c>
      <c r="D405" s="2" t="s">
        <v>133</v>
      </c>
      <c r="E405" s="2" t="s">
        <v>10</v>
      </c>
      <c r="F405" s="3">
        <v>1600</v>
      </c>
      <c r="G405" s="15">
        <v>3</v>
      </c>
      <c r="H405" t="str">
        <f>VLOOKUP(D405,'Dati di Supporto'!$B$2:$C$104,2,FALSE)</f>
        <v>Calabria</v>
      </c>
      <c r="I405" t="str">
        <f>VLOOKUP(D405,'Dati di Supporto'!$B$2:$D$104,3,FALSE)</f>
        <v>VV</v>
      </c>
      <c r="J405" t="str">
        <f>VLOOKUP(H405,'Dati di Supporto'!$G$2:$H$21,2,FALSE)</f>
        <v>SUD</v>
      </c>
      <c r="K405">
        <f t="shared" si="6"/>
        <v>84</v>
      </c>
      <c r="L405" t="str">
        <f>_xlfn.IFS(Vendite!F405&lt;'Dati di Supporto'!$O$3,'Dati di Supporto'!$P$2,Vendite!F405&lt;'Dati di Supporto'!$O$4,'Dati di Supporto'!$P$3,Vendite!F405&lt;'Dati di Supporto'!$O$5,'Dati di Supporto'!$P$4,Vendite!F405&lt;'Dati di Supporto'!$O$6,'Dati di Supporto'!$P$5,Vendite!F405&gt;'Dati di Supporto'!$O$6,'Dati di Supporto'!$P$6)</f>
        <v>Fascia 5 (da 1500 € e oltre)</v>
      </c>
      <c r="M405" t="str">
        <f>_xlfn.IFS(G405='Dati di Supporto'!$O$10,'Dati di Supporto'!$P$10,Vendite!G405='Dati di Supporto'!$O$11,'Dati di Supporto'!$P$11,Vendite!G405='Dati di Supporto'!$O$12,'Dati di Supporto'!$P$12,Vendite!G405='Dati di Supporto'!$O$13,'Dati di Supporto'!$P$13,Vendite!G405='Dati di Supporto'!$O$14,'Dati di Supporto'!$P$14)</f>
        <v>Carta di credito</v>
      </c>
    </row>
    <row r="406" spans="1:13" x14ac:dyDescent="0.3">
      <c r="A406" s="11">
        <v>405</v>
      </c>
      <c r="B406" s="6">
        <v>41721</v>
      </c>
      <c r="C406" s="1" t="s">
        <v>2</v>
      </c>
      <c r="D406" s="2" t="s">
        <v>135</v>
      </c>
      <c r="E406" s="2" t="s">
        <v>11</v>
      </c>
      <c r="F406" s="3">
        <v>1825</v>
      </c>
      <c r="G406" s="15">
        <v>5</v>
      </c>
      <c r="H406" t="str">
        <f>VLOOKUP(D406,'Dati di Supporto'!$B$2:$C$104,2,FALSE)</f>
        <v>Lazio</v>
      </c>
      <c r="I406" t="str">
        <f>VLOOKUP(D406,'Dati di Supporto'!$B$2:$D$104,3,FALSE)</f>
        <v>VT</v>
      </c>
      <c r="J406" t="str">
        <f>VLOOKUP(H406,'Dati di Supporto'!$G$2:$H$21,2,FALSE)</f>
        <v>CENTRO</v>
      </c>
      <c r="K406">
        <f t="shared" si="6"/>
        <v>84</v>
      </c>
      <c r="L406" t="str">
        <f>_xlfn.IFS(Vendite!F406&lt;'Dati di Supporto'!$O$3,'Dati di Supporto'!$P$2,Vendite!F406&lt;'Dati di Supporto'!$O$4,'Dati di Supporto'!$P$3,Vendite!F406&lt;'Dati di Supporto'!$O$5,'Dati di Supporto'!$P$4,Vendite!F406&lt;'Dati di Supporto'!$O$6,'Dati di Supporto'!$P$5,Vendite!F406&gt;'Dati di Supporto'!$O$6,'Dati di Supporto'!$P$6)</f>
        <v>Fascia 5 (da 1500 € e oltre)</v>
      </c>
      <c r="M406" t="str">
        <f>_xlfn.IFS(G406='Dati di Supporto'!$O$10,'Dati di Supporto'!$P$10,Vendite!G406='Dati di Supporto'!$O$11,'Dati di Supporto'!$P$11,Vendite!G406='Dati di Supporto'!$O$12,'Dati di Supporto'!$P$12,Vendite!G406='Dati di Supporto'!$O$13,'Dati di Supporto'!$P$13,Vendite!G406='Dati di Supporto'!$O$14,'Dati di Supporto'!$P$14)</f>
        <v>Assegno Bancario</v>
      </c>
    </row>
    <row r="407" spans="1:13" x14ac:dyDescent="0.3">
      <c r="A407" s="11">
        <v>406</v>
      </c>
      <c r="B407" s="6">
        <v>41730</v>
      </c>
      <c r="C407" s="1" t="s">
        <v>8</v>
      </c>
      <c r="D407" s="2" t="s">
        <v>125</v>
      </c>
      <c r="E407" s="2" t="s">
        <v>11</v>
      </c>
      <c r="F407" s="3">
        <v>957</v>
      </c>
      <c r="G407" s="15">
        <v>1</v>
      </c>
      <c r="H407" t="str">
        <f>VLOOKUP(D407,'Dati di Supporto'!$B$2:$C$104,2,FALSE)</f>
        <v>Veneto</v>
      </c>
      <c r="I407" t="str">
        <f>VLOOKUP(D407,'Dati di Supporto'!$B$2:$D$104,3,FALSE)</f>
        <v>TV</v>
      </c>
      <c r="J407" t="str">
        <f>VLOOKUP(H407,'Dati di Supporto'!$G$2:$H$21,2,FALSE)</f>
        <v>NORD</v>
      </c>
      <c r="K407">
        <f t="shared" si="6"/>
        <v>70</v>
      </c>
      <c r="L407" t="str">
        <f>_xlfn.IFS(Vendite!F407&lt;'Dati di Supporto'!$O$3,'Dati di Supporto'!$P$2,Vendite!F407&lt;'Dati di Supporto'!$O$4,'Dati di Supporto'!$P$3,Vendite!F407&lt;'Dati di Supporto'!$O$5,'Dati di Supporto'!$P$4,Vendite!F407&lt;'Dati di Supporto'!$O$6,'Dati di Supporto'!$P$5,Vendite!F407&gt;'Dati di Supporto'!$O$6,'Dati di Supporto'!$P$6)</f>
        <v>Fascia 3 (da 800 €  a meno di 1200 €)</v>
      </c>
      <c r="M407" t="str">
        <f>_xlfn.IFS(G407='Dati di Supporto'!$O$10,'Dati di Supporto'!$P$10,Vendite!G407='Dati di Supporto'!$O$11,'Dati di Supporto'!$P$11,Vendite!G407='Dati di Supporto'!$O$12,'Dati di Supporto'!$P$12,Vendite!G407='Dati di Supporto'!$O$13,'Dati di Supporto'!$P$13,Vendite!G407='Dati di Supporto'!$O$14,'Dati di Supporto'!$P$14)</f>
        <v>Contanti</v>
      </c>
    </row>
    <row r="408" spans="1:13" x14ac:dyDescent="0.3">
      <c r="A408" s="11">
        <v>407</v>
      </c>
      <c r="B408" s="6">
        <v>41813</v>
      </c>
      <c r="C408" s="1" t="s">
        <v>1</v>
      </c>
      <c r="D408" s="2" t="s">
        <v>115</v>
      </c>
      <c r="E408" s="2" t="s">
        <v>252</v>
      </c>
      <c r="F408" s="3">
        <v>1941</v>
      </c>
      <c r="G408" s="15">
        <v>5</v>
      </c>
      <c r="H408" t="str">
        <f>VLOOKUP(D408,'Dati di Supporto'!$B$2:$C$104,2,FALSE)</f>
        <v>Liguria</v>
      </c>
      <c r="I408" t="str">
        <f>VLOOKUP(D408,'Dati di Supporto'!$B$2:$D$104,3,FALSE)</f>
        <v>SV</v>
      </c>
      <c r="J408" t="str">
        <f>VLOOKUP(H408,'Dati di Supporto'!$G$2:$H$21,2,FALSE)</f>
        <v>NORD</v>
      </c>
      <c r="K408">
        <f t="shared" si="6"/>
        <v>96</v>
      </c>
      <c r="L408" t="str">
        <f>_xlfn.IFS(Vendite!F408&lt;'Dati di Supporto'!$O$3,'Dati di Supporto'!$P$2,Vendite!F408&lt;'Dati di Supporto'!$O$4,'Dati di Supporto'!$P$3,Vendite!F408&lt;'Dati di Supporto'!$O$5,'Dati di Supporto'!$P$4,Vendite!F408&lt;'Dati di Supporto'!$O$6,'Dati di Supporto'!$P$5,Vendite!F408&gt;'Dati di Supporto'!$O$6,'Dati di Supporto'!$P$6)</f>
        <v>Fascia 5 (da 1500 € e oltre)</v>
      </c>
      <c r="M408" t="str">
        <f>_xlfn.IFS(G408='Dati di Supporto'!$O$10,'Dati di Supporto'!$P$10,Vendite!G408='Dati di Supporto'!$O$11,'Dati di Supporto'!$P$11,Vendite!G408='Dati di Supporto'!$O$12,'Dati di Supporto'!$P$12,Vendite!G408='Dati di Supporto'!$O$13,'Dati di Supporto'!$P$13,Vendite!G408='Dati di Supporto'!$O$14,'Dati di Supporto'!$P$14)</f>
        <v>Assegno Bancario</v>
      </c>
    </row>
    <row r="409" spans="1:13" x14ac:dyDescent="0.3">
      <c r="A409" s="11">
        <v>408</v>
      </c>
      <c r="B409" s="6">
        <v>41741</v>
      </c>
      <c r="C409" s="1" t="s">
        <v>2</v>
      </c>
      <c r="D409" s="2" t="s">
        <v>120</v>
      </c>
      <c r="E409" s="2" t="s">
        <v>251</v>
      </c>
      <c r="F409" s="3">
        <v>417</v>
      </c>
      <c r="G409" s="15">
        <v>1</v>
      </c>
      <c r="H409" t="str">
        <f>VLOOKUP(D409,'Dati di Supporto'!$B$2:$C$104,2,FALSE)</f>
        <v>Abruzzo</v>
      </c>
      <c r="I409" t="str">
        <f>VLOOKUP(D409,'Dati di Supporto'!$B$2:$D$104,3,FALSE)</f>
        <v>TE</v>
      </c>
      <c r="J409" t="str">
        <f>VLOOKUP(H409,'Dati di Supporto'!$G$2:$H$21,2,FALSE)</f>
        <v>CENTRO</v>
      </c>
      <c r="K409">
        <f t="shared" si="6"/>
        <v>84</v>
      </c>
      <c r="L409" t="str">
        <f>_xlfn.IFS(Vendite!F409&lt;'Dati di Supporto'!$O$3,'Dati di Supporto'!$P$2,Vendite!F409&lt;'Dati di Supporto'!$O$4,'Dati di Supporto'!$P$3,Vendite!F409&lt;'Dati di Supporto'!$O$5,'Dati di Supporto'!$P$4,Vendite!F409&lt;'Dati di Supporto'!$O$6,'Dati di Supporto'!$P$5,Vendite!F409&gt;'Dati di Supporto'!$O$6,'Dati di Supporto'!$P$6)</f>
        <v>Fascia 2 (da 400 €  a meno di 800 €)</v>
      </c>
      <c r="M409" t="str">
        <f>_xlfn.IFS(G409='Dati di Supporto'!$O$10,'Dati di Supporto'!$P$10,Vendite!G409='Dati di Supporto'!$O$11,'Dati di Supporto'!$P$11,Vendite!G409='Dati di Supporto'!$O$12,'Dati di Supporto'!$P$12,Vendite!G409='Dati di Supporto'!$O$13,'Dati di Supporto'!$P$13,Vendite!G409='Dati di Supporto'!$O$14,'Dati di Supporto'!$P$14)</f>
        <v>Contanti</v>
      </c>
    </row>
    <row r="410" spans="1:13" x14ac:dyDescent="0.3">
      <c r="A410" s="11">
        <v>409</v>
      </c>
      <c r="B410" s="6">
        <v>41695</v>
      </c>
      <c r="C410" s="1" t="s">
        <v>248</v>
      </c>
      <c r="D410" s="2" t="s">
        <v>133</v>
      </c>
      <c r="E410" s="2" t="s">
        <v>252</v>
      </c>
      <c r="F410" s="3">
        <v>1839</v>
      </c>
      <c r="G410" s="15">
        <v>4</v>
      </c>
      <c r="H410" t="str">
        <f>VLOOKUP(D410,'Dati di Supporto'!$B$2:$C$104,2,FALSE)</f>
        <v>Calabria</v>
      </c>
      <c r="I410" t="str">
        <f>VLOOKUP(D410,'Dati di Supporto'!$B$2:$D$104,3,FALSE)</f>
        <v>VV</v>
      </c>
      <c r="J410" t="str">
        <f>VLOOKUP(H410,'Dati di Supporto'!$G$2:$H$21,2,FALSE)</f>
        <v>SUD</v>
      </c>
      <c r="K410">
        <f t="shared" si="6"/>
        <v>80</v>
      </c>
      <c r="L410" t="str">
        <f>_xlfn.IFS(Vendite!F410&lt;'Dati di Supporto'!$O$3,'Dati di Supporto'!$P$2,Vendite!F410&lt;'Dati di Supporto'!$O$4,'Dati di Supporto'!$P$3,Vendite!F410&lt;'Dati di Supporto'!$O$5,'Dati di Supporto'!$P$4,Vendite!F410&lt;'Dati di Supporto'!$O$6,'Dati di Supporto'!$P$5,Vendite!F410&gt;'Dati di Supporto'!$O$6,'Dati di Supporto'!$P$6)</f>
        <v>Fascia 5 (da 1500 € e oltre)</v>
      </c>
      <c r="M410" t="str">
        <f>_xlfn.IFS(G410='Dati di Supporto'!$O$10,'Dati di Supporto'!$P$10,Vendite!G410='Dati di Supporto'!$O$11,'Dati di Supporto'!$P$11,Vendite!G410='Dati di Supporto'!$O$12,'Dati di Supporto'!$P$12,Vendite!G410='Dati di Supporto'!$O$13,'Dati di Supporto'!$P$13,Vendite!G410='Dati di Supporto'!$O$14,'Dati di Supporto'!$P$14)</f>
        <v>Bollettino postale</v>
      </c>
    </row>
    <row r="411" spans="1:13" x14ac:dyDescent="0.3">
      <c r="A411" s="11">
        <v>410</v>
      </c>
      <c r="B411" s="6">
        <v>41675</v>
      </c>
      <c r="C411" s="1" t="s">
        <v>3</v>
      </c>
      <c r="D411" s="2" t="s">
        <v>127</v>
      </c>
      <c r="E411" s="2" t="s">
        <v>250</v>
      </c>
      <c r="F411" s="3">
        <v>1647</v>
      </c>
      <c r="G411" s="15">
        <v>1</v>
      </c>
      <c r="H411" t="str">
        <f>VLOOKUP(D411,'Dati di Supporto'!$B$2:$C$104,2,FALSE)</f>
        <v>Friuli-Venezia Giulia</v>
      </c>
      <c r="I411" t="str">
        <f>VLOOKUP(D411,'Dati di Supporto'!$B$2:$D$104,3,FALSE)</f>
        <v>UD</v>
      </c>
      <c r="J411" t="str">
        <f>VLOOKUP(H411,'Dati di Supporto'!$G$2:$H$21,2,FALSE)</f>
        <v>NORD</v>
      </c>
      <c r="K411">
        <f t="shared" si="6"/>
        <v>87</v>
      </c>
      <c r="L411" t="str">
        <f>_xlfn.IFS(Vendite!F411&lt;'Dati di Supporto'!$O$3,'Dati di Supporto'!$P$2,Vendite!F411&lt;'Dati di Supporto'!$O$4,'Dati di Supporto'!$P$3,Vendite!F411&lt;'Dati di Supporto'!$O$5,'Dati di Supporto'!$P$4,Vendite!F411&lt;'Dati di Supporto'!$O$6,'Dati di Supporto'!$P$5,Vendite!F411&gt;'Dati di Supporto'!$O$6,'Dati di Supporto'!$P$6)</f>
        <v>Fascia 5 (da 1500 € e oltre)</v>
      </c>
      <c r="M411" t="str">
        <f>_xlfn.IFS(G411='Dati di Supporto'!$O$10,'Dati di Supporto'!$P$10,Vendite!G411='Dati di Supporto'!$O$11,'Dati di Supporto'!$P$11,Vendite!G411='Dati di Supporto'!$O$12,'Dati di Supporto'!$P$12,Vendite!G411='Dati di Supporto'!$O$13,'Dati di Supporto'!$P$13,Vendite!G411='Dati di Supporto'!$O$14,'Dati di Supporto'!$P$14)</f>
        <v>Contanti</v>
      </c>
    </row>
    <row r="412" spans="1:13" x14ac:dyDescent="0.3">
      <c r="A412" s="11">
        <v>411</v>
      </c>
      <c r="B412" s="6">
        <v>41711</v>
      </c>
      <c r="C412" s="1" t="s">
        <v>2</v>
      </c>
      <c r="D412" s="2" t="s">
        <v>108</v>
      </c>
      <c r="E412" s="2" t="s">
        <v>252</v>
      </c>
      <c r="F412" s="3">
        <v>87</v>
      </c>
      <c r="G412" s="15">
        <v>5</v>
      </c>
      <c r="H412" t="str">
        <f>VLOOKUP(D412,'Dati di Supporto'!$B$2:$C$104,2,FALSE)</f>
        <v>Emilia-Romagna</v>
      </c>
      <c r="I412" t="str">
        <f>VLOOKUP(D412,'Dati di Supporto'!$B$2:$D$104,3,FALSE)</f>
        <v>RA</v>
      </c>
      <c r="J412" t="str">
        <f>VLOOKUP(H412,'Dati di Supporto'!$G$2:$H$21,2,FALSE)</f>
        <v>NORD</v>
      </c>
      <c r="K412">
        <f t="shared" si="6"/>
        <v>84</v>
      </c>
      <c r="L412" t="str">
        <f>_xlfn.IFS(Vendite!F412&lt;'Dati di Supporto'!$O$3,'Dati di Supporto'!$P$2,Vendite!F412&lt;'Dati di Supporto'!$O$4,'Dati di Supporto'!$P$3,Vendite!F412&lt;'Dati di Supporto'!$O$5,'Dati di Supporto'!$P$4,Vendite!F412&lt;'Dati di Supporto'!$O$6,'Dati di Supporto'!$P$5,Vendite!F412&gt;'Dati di Supporto'!$O$6,'Dati di Supporto'!$P$6)</f>
        <v>Fascia 1 (inferiore a 400 €)</v>
      </c>
      <c r="M412" t="str">
        <f>_xlfn.IFS(G412='Dati di Supporto'!$O$10,'Dati di Supporto'!$P$10,Vendite!G412='Dati di Supporto'!$O$11,'Dati di Supporto'!$P$11,Vendite!G412='Dati di Supporto'!$O$12,'Dati di Supporto'!$P$12,Vendite!G412='Dati di Supporto'!$O$13,'Dati di Supporto'!$P$13,Vendite!G412='Dati di Supporto'!$O$14,'Dati di Supporto'!$P$14)</f>
        <v>Assegno Bancario</v>
      </c>
    </row>
    <row r="413" spans="1:13" x14ac:dyDescent="0.3">
      <c r="A413" s="11">
        <v>412</v>
      </c>
      <c r="B413" s="6">
        <v>41720</v>
      </c>
      <c r="C413" s="1" t="s">
        <v>2</v>
      </c>
      <c r="D413" s="2" t="s">
        <v>100</v>
      </c>
      <c r="E413" s="2" t="s">
        <v>10</v>
      </c>
      <c r="F413" s="3">
        <v>1123</v>
      </c>
      <c r="G413" s="15">
        <v>2</v>
      </c>
      <c r="H413" t="str">
        <f>VLOOKUP(D413,'Dati di Supporto'!$B$2:$C$104,2,FALSE)</f>
        <v>Abruzzo</v>
      </c>
      <c r="I413" t="str">
        <f>VLOOKUP(D413,'Dati di Supporto'!$B$2:$D$104,3,FALSE)</f>
        <v>PE</v>
      </c>
      <c r="J413" t="str">
        <f>VLOOKUP(H413,'Dati di Supporto'!$G$2:$H$21,2,FALSE)</f>
        <v>CENTRO</v>
      </c>
      <c r="K413">
        <f t="shared" si="6"/>
        <v>84</v>
      </c>
      <c r="L413" t="str">
        <f>_xlfn.IFS(Vendite!F413&lt;'Dati di Supporto'!$O$3,'Dati di Supporto'!$P$2,Vendite!F413&lt;'Dati di Supporto'!$O$4,'Dati di Supporto'!$P$3,Vendite!F413&lt;'Dati di Supporto'!$O$5,'Dati di Supporto'!$P$4,Vendite!F413&lt;'Dati di Supporto'!$O$6,'Dati di Supporto'!$P$5,Vendite!F413&gt;'Dati di Supporto'!$O$6,'Dati di Supporto'!$P$6)</f>
        <v>Fascia 3 (da 800 €  a meno di 1200 €)</v>
      </c>
      <c r="M413" t="str">
        <f>_xlfn.IFS(G413='Dati di Supporto'!$O$10,'Dati di Supporto'!$P$10,Vendite!G413='Dati di Supporto'!$O$11,'Dati di Supporto'!$P$11,Vendite!G413='Dati di Supporto'!$O$12,'Dati di Supporto'!$P$12,Vendite!G413='Dati di Supporto'!$O$13,'Dati di Supporto'!$P$13,Vendite!G413='Dati di Supporto'!$O$14,'Dati di Supporto'!$P$14)</f>
        <v>Bonifico Bancario</v>
      </c>
    </row>
    <row r="414" spans="1:13" x14ac:dyDescent="0.3">
      <c r="A414" s="11">
        <v>413</v>
      </c>
      <c r="B414" s="6">
        <v>41654</v>
      </c>
      <c r="C414" s="1" t="s">
        <v>247</v>
      </c>
      <c r="D414" s="2" t="s">
        <v>113</v>
      </c>
      <c r="E414" s="2" t="s">
        <v>252</v>
      </c>
      <c r="F414" s="3">
        <v>1881</v>
      </c>
      <c r="G414" s="15">
        <v>1</v>
      </c>
      <c r="H414" t="str">
        <f>VLOOKUP(D414,'Dati di Supporto'!$B$2:$C$104,2,FALSE)</f>
        <v>Campania</v>
      </c>
      <c r="I414" t="str">
        <f>VLOOKUP(D414,'Dati di Supporto'!$B$2:$D$104,3,FALSE)</f>
        <v>SA</v>
      </c>
      <c r="J414" t="str">
        <f>VLOOKUP(H414,'Dati di Supporto'!$G$2:$H$21,2,FALSE)</f>
        <v>SUD</v>
      </c>
      <c r="K414">
        <f t="shared" si="6"/>
        <v>83</v>
      </c>
      <c r="L414" t="str">
        <f>_xlfn.IFS(Vendite!F414&lt;'Dati di Supporto'!$O$3,'Dati di Supporto'!$P$2,Vendite!F414&lt;'Dati di Supporto'!$O$4,'Dati di Supporto'!$P$3,Vendite!F414&lt;'Dati di Supporto'!$O$5,'Dati di Supporto'!$P$4,Vendite!F414&lt;'Dati di Supporto'!$O$6,'Dati di Supporto'!$P$5,Vendite!F414&gt;'Dati di Supporto'!$O$6,'Dati di Supporto'!$P$6)</f>
        <v>Fascia 5 (da 1500 € e oltre)</v>
      </c>
      <c r="M414" t="str">
        <f>_xlfn.IFS(G414='Dati di Supporto'!$O$10,'Dati di Supporto'!$P$10,Vendite!G414='Dati di Supporto'!$O$11,'Dati di Supporto'!$P$11,Vendite!G414='Dati di Supporto'!$O$12,'Dati di Supporto'!$P$12,Vendite!G414='Dati di Supporto'!$O$13,'Dati di Supporto'!$P$13,Vendite!G414='Dati di Supporto'!$O$14,'Dati di Supporto'!$P$14)</f>
        <v>Contanti</v>
      </c>
    </row>
    <row r="415" spans="1:13" x14ac:dyDescent="0.3">
      <c r="A415" s="11">
        <v>414</v>
      </c>
      <c r="B415" s="6">
        <v>41707</v>
      </c>
      <c r="C415" s="1" t="s">
        <v>1</v>
      </c>
      <c r="D415" s="2" t="s">
        <v>103</v>
      </c>
      <c r="E415" s="2" t="s">
        <v>252</v>
      </c>
      <c r="F415" s="3">
        <v>517</v>
      </c>
      <c r="G415" s="15">
        <v>1</v>
      </c>
      <c r="H415" t="str">
        <f>VLOOKUP(D415,'Dati di Supporto'!$B$2:$C$104,2,FALSE)</f>
        <v>Toscana</v>
      </c>
      <c r="I415" t="str">
        <f>VLOOKUP(D415,'Dati di Supporto'!$B$2:$D$104,3,FALSE)</f>
        <v>PT</v>
      </c>
      <c r="J415" t="str">
        <f>VLOOKUP(H415,'Dati di Supporto'!$G$2:$H$21,2,FALSE)</f>
        <v>CENTRO</v>
      </c>
      <c r="K415">
        <f t="shared" si="6"/>
        <v>96</v>
      </c>
      <c r="L415" t="str">
        <f>_xlfn.IFS(Vendite!F415&lt;'Dati di Supporto'!$O$3,'Dati di Supporto'!$P$2,Vendite!F415&lt;'Dati di Supporto'!$O$4,'Dati di Supporto'!$P$3,Vendite!F415&lt;'Dati di Supporto'!$O$5,'Dati di Supporto'!$P$4,Vendite!F415&lt;'Dati di Supporto'!$O$6,'Dati di Supporto'!$P$5,Vendite!F415&gt;'Dati di Supporto'!$O$6,'Dati di Supporto'!$P$6)</f>
        <v>Fascia 2 (da 400 €  a meno di 800 €)</v>
      </c>
      <c r="M415" t="str">
        <f>_xlfn.IFS(G415='Dati di Supporto'!$O$10,'Dati di Supporto'!$P$10,Vendite!G415='Dati di Supporto'!$O$11,'Dati di Supporto'!$P$11,Vendite!G415='Dati di Supporto'!$O$12,'Dati di Supporto'!$P$12,Vendite!G415='Dati di Supporto'!$O$13,'Dati di Supporto'!$P$13,Vendite!G415='Dati di Supporto'!$O$14,'Dati di Supporto'!$P$14)</f>
        <v>Contanti</v>
      </c>
    </row>
    <row r="416" spans="1:13" x14ac:dyDescent="0.3">
      <c r="A416" s="11">
        <v>415</v>
      </c>
      <c r="B416" s="6">
        <v>41662</v>
      </c>
      <c r="C416" s="1" t="s">
        <v>8</v>
      </c>
      <c r="D416" s="2" t="s">
        <v>116</v>
      </c>
      <c r="E416" s="2" t="s">
        <v>11</v>
      </c>
      <c r="F416" s="3">
        <v>1662</v>
      </c>
      <c r="G416" s="15">
        <v>3</v>
      </c>
      <c r="H416" t="str">
        <f>VLOOKUP(D416,'Dati di Supporto'!$B$2:$C$104,2,FALSE)</f>
        <v>Toscana</v>
      </c>
      <c r="I416" t="str">
        <f>VLOOKUP(D416,'Dati di Supporto'!$B$2:$D$104,3,FALSE)</f>
        <v>SI</v>
      </c>
      <c r="J416" t="str">
        <f>VLOOKUP(H416,'Dati di Supporto'!$G$2:$H$21,2,FALSE)</f>
        <v>CENTRO</v>
      </c>
      <c r="K416">
        <f t="shared" si="6"/>
        <v>70</v>
      </c>
      <c r="L416" t="str">
        <f>_xlfn.IFS(Vendite!F416&lt;'Dati di Supporto'!$O$3,'Dati di Supporto'!$P$2,Vendite!F416&lt;'Dati di Supporto'!$O$4,'Dati di Supporto'!$P$3,Vendite!F416&lt;'Dati di Supporto'!$O$5,'Dati di Supporto'!$P$4,Vendite!F416&lt;'Dati di Supporto'!$O$6,'Dati di Supporto'!$P$5,Vendite!F416&gt;'Dati di Supporto'!$O$6,'Dati di Supporto'!$P$6)</f>
        <v>Fascia 5 (da 1500 € e oltre)</v>
      </c>
      <c r="M416" t="str">
        <f>_xlfn.IFS(G416='Dati di Supporto'!$O$10,'Dati di Supporto'!$P$10,Vendite!G416='Dati di Supporto'!$O$11,'Dati di Supporto'!$P$11,Vendite!G416='Dati di Supporto'!$O$12,'Dati di Supporto'!$P$12,Vendite!G416='Dati di Supporto'!$O$13,'Dati di Supporto'!$P$13,Vendite!G416='Dati di Supporto'!$O$14,'Dati di Supporto'!$P$14)</f>
        <v>Carta di credito</v>
      </c>
    </row>
    <row r="417" spans="1:13" x14ac:dyDescent="0.3">
      <c r="A417" s="11">
        <v>416</v>
      </c>
      <c r="B417" s="6">
        <v>41724</v>
      </c>
      <c r="C417" s="1" t="s">
        <v>8</v>
      </c>
      <c r="D417" s="2" t="s">
        <v>129</v>
      </c>
      <c r="E417" s="2" t="s">
        <v>252</v>
      </c>
      <c r="F417" s="3">
        <v>540</v>
      </c>
      <c r="G417" s="15">
        <v>4</v>
      </c>
      <c r="H417" t="str">
        <f>VLOOKUP(D417,'Dati di Supporto'!$B$2:$C$104,2,FALSE)</f>
        <v>Veneto</v>
      </c>
      <c r="I417" t="str">
        <f>VLOOKUP(D417,'Dati di Supporto'!$B$2:$D$104,3,FALSE)</f>
        <v>VE</v>
      </c>
      <c r="J417" t="str">
        <f>VLOOKUP(H417,'Dati di Supporto'!$G$2:$H$21,2,FALSE)</f>
        <v>NORD</v>
      </c>
      <c r="K417">
        <f t="shared" si="6"/>
        <v>70</v>
      </c>
      <c r="L417" t="str">
        <f>_xlfn.IFS(Vendite!F417&lt;'Dati di Supporto'!$O$3,'Dati di Supporto'!$P$2,Vendite!F417&lt;'Dati di Supporto'!$O$4,'Dati di Supporto'!$P$3,Vendite!F417&lt;'Dati di Supporto'!$O$5,'Dati di Supporto'!$P$4,Vendite!F417&lt;'Dati di Supporto'!$O$6,'Dati di Supporto'!$P$5,Vendite!F417&gt;'Dati di Supporto'!$O$6,'Dati di Supporto'!$P$6)</f>
        <v>Fascia 2 (da 400 €  a meno di 800 €)</v>
      </c>
      <c r="M417" t="str">
        <f>_xlfn.IFS(G417='Dati di Supporto'!$O$10,'Dati di Supporto'!$P$10,Vendite!G417='Dati di Supporto'!$O$11,'Dati di Supporto'!$P$11,Vendite!G417='Dati di Supporto'!$O$12,'Dati di Supporto'!$P$12,Vendite!G417='Dati di Supporto'!$O$13,'Dati di Supporto'!$P$13,Vendite!G417='Dati di Supporto'!$O$14,'Dati di Supporto'!$P$14)</f>
        <v>Bollettino postale</v>
      </c>
    </row>
    <row r="418" spans="1:13" x14ac:dyDescent="0.3">
      <c r="A418" s="11">
        <v>417</v>
      </c>
      <c r="B418" s="6">
        <v>41752</v>
      </c>
      <c r="C418" s="1" t="s">
        <v>3</v>
      </c>
      <c r="D418" s="2" t="s">
        <v>211</v>
      </c>
      <c r="E418" s="2" t="s">
        <v>10</v>
      </c>
      <c r="F418" s="3">
        <v>207</v>
      </c>
      <c r="G418" s="15">
        <v>1</v>
      </c>
      <c r="H418" t="str">
        <f>VLOOKUP(D418,'Dati di Supporto'!$B$2:$C$104,2,FALSE)</f>
        <v>Calabria</v>
      </c>
      <c r="I418" t="str">
        <f>VLOOKUP(D418,'Dati di Supporto'!$B$2:$D$104,3,FALSE)</f>
        <v>RC</v>
      </c>
      <c r="J418" t="str">
        <f>VLOOKUP(H418,'Dati di Supporto'!$G$2:$H$21,2,FALSE)</f>
        <v>SUD</v>
      </c>
      <c r="K418">
        <f t="shared" si="6"/>
        <v>87</v>
      </c>
      <c r="L418" t="str">
        <f>_xlfn.IFS(Vendite!F418&lt;'Dati di Supporto'!$O$3,'Dati di Supporto'!$P$2,Vendite!F418&lt;'Dati di Supporto'!$O$4,'Dati di Supporto'!$P$3,Vendite!F418&lt;'Dati di Supporto'!$O$5,'Dati di Supporto'!$P$4,Vendite!F418&lt;'Dati di Supporto'!$O$6,'Dati di Supporto'!$P$5,Vendite!F418&gt;'Dati di Supporto'!$O$6,'Dati di Supporto'!$P$6)</f>
        <v>Fascia 1 (inferiore a 400 €)</v>
      </c>
      <c r="M418" t="str">
        <f>_xlfn.IFS(G418='Dati di Supporto'!$O$10,'Dati di Supporto'!$P$10,Vendite!G418='Dati di Supporto'!$O$11,'Dati di Supporto'!$P$11,Vendite!G418='Dati di Supporto'!$O$12,'Dati di Supporto'!$P$12,Vendite!G418='Dati di Supporto'!$O$13,'Dati di Supporto'!$P$13,Vendite!G418='Dati di Supporto'!$O$14,'Dati di Supporto'!$P$14)</f>
        <v>Contanti</v>
      </c>
    </row>
    <row r="419" spans="1:13" x14ac:dyDescent="0.3">
      <c r="A419" s="11">
        <v>418</v>
      </c>
      <c r="B419" s="6">
        <v>41685</v>
      </c>
      <c r="C419" s="1" t="s">
        <v>8</v>
      </c>
      <c r="D419" s="2" t="s">
        <v>101</v>
      </c>
      <c r="E419" s="2" t="s">
        <v>11</v>
      </c>
      <c r="F419" s="3">
        <v>879</v>
      </c>
      <c r="G419" s="15">
        <v>2</v>
      </c>
      <c r="H419" t="str">
        <f>VLOOKUP(D419,'Dati di Supporto'!$B$2:$C$104,2,FALSE)</f>
        <v>Emilia-Romagna</v>
      </c>
      <c r="I419" t="str">
        <f>VLOOKUP(D419,'Dati di Supporto'!$B$2:$D$104,3,FALSE)</f>
        <v>PC</v>
      </c>
      <c r="J419" t="str">
        <f>VLOOKUP(H419,'Dati di Supporto'!$G$2:$H$21,2,FALSE)</f>
        <v>NORD</v>
      </c>
      <c r="K419">
        <f t="shared" si="6"/>
        <v>70</v>
      </c>
      <c r="L419" t="str">
        <f>_xlfn.IFS(Vendite!F419&lt;'Dati di Supporto'!$O$3,'Dati di Supporto'!$P$2,Vendite!F419&lt;'Dati di Supporto'!$O$4,'Dati di Supporto'!$P$3,Vendite!F419&lt;'Dati di Supporto'!$O$5,'Dati di Supporto'!$P$4,Vendite!F419&lt;'Dati di Supporto'!$O$6,'Dati di Supporto'!$P$5,Vendite!F419&gt;'Dati di Supporto'!$O$6,'Dati di Supporto'!$P$6)</f>
        <v>Fascia 3 (da 800 €  a meno di 1200 €)</v>
      </c>
      <c r="M419" t="str">
        <f>_xlfn.IFS(G419='Dati di Supporto'!$O$10,'Dati di Supporto'!$P$10,Vendite!G419='Dati di Supporto'!$O$11,'Dati di Supporto'!$P$11,Vendite!G419='Dati di Supporto'!$O$12,'Dati di Supporto'!$P$12,Vendite!G419='Dati di Supporto'!$O$13,'Dati di Supporto'!$P$13,Vendite!G419='Dati di Supporto'!$O$14,'Dati di Supporto'!$P$14)</f>
        <v>Bonifico Bancario</v>
      </c>
    </row>
    <row r="420" spans="1:13" x14ac:dyDescent="0.3">
      <c r="A420" s="11">
        <v>419</v>
      </c>
      <c r="B420" s="6">
        <v>41696</v>
      </c>
      <c r="C420" s="1" t="s">
        <v>2</v>
      </c>
      <c r="D420" s="2" t="s">
        <v>107</v>
      </c>
      <c r="E420" s="2" t="s">
        <v>252</v>
      </c>
      <c r="F420" s="3">
        <v>1602</v>
      </c>
      <c r="G420" s="15">
        <v>5</v>
      </c>
      <c r="H420" t="str">
        <f>VLOOKUP(D420,'Dati di Supporto'!$B$2:$C$104,2,FALSE)</f>
        <v>Sicilia</v>
      </c>
      <c r="I420" t="str">
        <f>VLOOKUP(D420,'Dati di Supporto'!$B$2:$D$104,3,FALSE)</f>
        <v>RG</v>
      </c>
      <c r="J420" t="str">
        <f>VLOOKUP(H420,'Dati di Supporto'!$G$2:$H$21,2,FALSE)</f>
        <v>ISOLE</v>
      </c>
      <c r="K420">
        <f t="shared" si="6"/>
        <v>84</v>
      </c>
      <c r="L420" t="str">
        <f>_xlfn.IFS(Vendite!F420&lt;'Dati di Supporto'!$O$3,'Dati di Supporto'!$P$2,Vendite!F420&lt;'Dati di Supporto'!$O$4,'Dati di Supporto'!$P$3,Vendite!F420&lt;'Dati di Supporto'!$O$5,'Dati di Supporto'!$P$4,Vendite!F420&lt;'Dati di Supporto'!$O$6,'Dati di Supporto'!$P$5,Vendite!F420&gt;'Dati di Supporto'!$O$6,'Dati di Supporto'!$P$6)</f>
        <v>Fascia 5 (da 1500 € e oltre)</v>
      </c>
      <c r="M420" t="str">
        <f>_xlfn.IFS(G420='Dati di Supporto'!$O$10,'Dati di Supporto'!$P$10,Vendite!G420='Dati di Supporto'!$O$11,'Dati di Supporto'!$P$11,Vendite!G420='Dati di Supporto'!$O$12,'Dati di Supporto'!$P$12,Vendite!G420='Dati di Supporto'!$O$13,'Dati di Supporto'!$P$13,Vendite!G420='Dati di Supporto'!$O$14,'Dati di Supporto'!$P$14)</f>
        <v>Assegno Bancario</v>
      </c>
    </row>
    <row r="421" spans="1:13" x14ac:dyDescent="0.3">
      <c r="A421" s="11">
        <v>420</v>
      </c>
      <c r="B421" s="6">
        <v>41690</v>
      </c>
      <c r="C421" s="1" t="s">
        <v>1</v>
      </c>
      <c r="D421" s="2" t="s">
        <v>105</v>
      </c>
      <c r="E421" s="2" t="s">
        <v>11</v>
      </c>
      <c r="F421" s="3">
        <v>1061</v>
      </c>
      <c r="G421" s="15">
        <v>1</v>
      </c>
      <c r="H421" t="str">
        <f>VLOOKUP(D421,'Dati di Supporto'!$B$2:$C$104,2,FALSE)</f>
        <v>Basilicata</v>
      </c>
      <c r="I421" t="str">
        <f>VLOOKUP(D421,'Dati di Supporto'!$B$2:$D$104,3,FALSE)</f>
        <v>PZ</v>
      </c>
      <c r="J421" t="str">
        <f>VLOOKUP(H421,'Dati di Supporto'!$G$2:$H$21,2,FALSE)</f>
        <v>SUD</v>
      </c>
      <c r="K421">
        <f t="shared" si="6"/>
        <v>96</v>
      </c>
      <c r="L421" t="str">
        <f>_xlfn.IFS(Vendite!F421&lt;'Dati di Supporto'!$O$3,'Dati di Supporto'!$P$2,Vendite!F421&lt;'Dati di Supporto'!$O$4,'Dati di Supporto'!$P$3,Vendite!F421&lt;'Dati di Supporto'!$O$5,'Dati di Supporto'!$P$4,Vendite!F421&lt;'Dati di Supporto'!$O$6,'Dati di Supporto'!$P$5,Vendite!F421&gt;'Dati di Supporto'!$O$6,'Dati di Supporto'!$P$6)</f>
        <v>Fascia 3 (da 800 €  a meno di 1200 €)</v>
      </c>
      <c r="M421" t="str">
        <f>_xlfn.IFS(G421='Dati di Supporto'!$O$10,'Dati di Supporto'!$P$10,Vendite!G421='Dati di Supporto'!$O$11,'Dati di Supporto'!$P$11,Vendite!G421='Dati di Supporto'!$O$12,'Dati di Supporto'!$P$12,Vendite!G421='Dati di Supporto'!$O$13,'Dati di Supporto'!$P$13,Vendite!G421='Dati di Supporto'!$O$14,'Dati di Supporto'!$P$14)</f>
        <v>Contanti</v>
      </c>
    </row>
    <row r="422" spans="1:13" x14ac:dyDescent="0.3">
      <c r="A422" s="11">
        <v>421</v>
      </c>
      <c r="B422" s="6">
        <v>41714</v>
      </c>
      <c r="C422" s="1" t="s">
        <v>1</v>
      </c>
      <c r="D422" s="2" t="s">
        <v>102</v>
      </c>
      <c r="E422" s="2" t="s">
        <v>250</v>
      </c>
      <c r="F422" s="3">
        <v>569</v>
      </c>
      <c r="G422" s="15">
        <v>1</v>
      </c>
      <c r="H422" t="str">
        <f>VLOOKUP(D422,'Dati di Supporto'!$B$2:$C$104,2,FALSE)</f>
        <v>Toscana</v>
      </c>
      <c r="I422" t="str">
        <f>VLOOKUP(D422,'Dati di Supporto'!$B$2:$D$104,3,FALSE)</f>
        <v>PI</v>
      </c>
      <c r="J422" t="str">
        <f>VLOOKUP(H422,'Dati di Supporto'!$G$2:$H$21,2,FALSE)</f>
        <v>CENTRO</v>
      </c>
      <c r="K422">
        <f t="shared" si="6"/>
        <v>96</v>
      </c>
      <c r="L422" t="str">
        <f>_xlfn.IFS(Vendite!F422&lt;'Dati di Supporto'!$O$3,'Dati di Supporto'!$P$2,Vendite!F422&lt;'Dati di Supporto'!$O$4,'Dati di Supporto'!$P$3,Vendite!F422&lt;'Dati di Supporto'!$O$5,'Dati di Supporto'!$P$4,Vendite!F422&lt;'Dati di Supporto'!$O$6,'Dati di Supporto'!$P$5,Vendite!F422&gt;'Dati di Supporto'!$O$6,'Dati di Supporto'!$P$6)</f>
        <v>Fascia 2 (da 400 €  a meno di 800 €)</v>
      </c>
      <c r="M422" t="str">
        <f>_xlfn.IFS(G422='Dati di Supporto'!$O$10,'Dati di Supporto'!$P$10,Vendite!G422='Dati di Supporto'!$O$11,'Dati di Supporto'!$P$11,Vendite!G422='Dati di Supporto'!$O$12,'Dati di Supporto'!$P$12,Vendite!G422='Dati di Supporto'!$O$13,'Dati di Supporto'!$P$13,Vendite!G422='Dati di Supporto'!$O$14,'Dati di Supporto'!$P$14)</f>
        <v>Contanti</v>
      </c>
    </row>
    <row r="423" spans="1:13" x14ac:dyDescent="0.3">
      <c r="A423" s="11">
        <v>422</v>
      </c>
      <c r="B423" s="6">
        <v>41793</v>
      </c>
      <c r="C423" s="1" t="s">
        <v>3</v>
      </c>
      <c r="D423" s="2" t="s">
        <v>123</v>
      </c>
      <c r="E423" s="2" t="s">
        <v>252</v>
      </c>
      <c r="F423" s="3">
        <v>1479</v>
      </c>
      <c r="G423" s="15">
        <v>3</v>
      </c>
      <c r="H423" t="str">
        <f>VLOOKUP(D423,'Dati di Supporto'!$B$2:$C$104,2,FALSE)</f>
        <v>Sicilia</v>
      </c>
      <c r="I423" t="str">
        <f>VLOOKUP(D423,'Dati di Supporto'!$B$2:$D$104,3,FALSE)</f>
        <v>TP</v>
      </c>
      <c r="J423" t="str">
        <f>VLOOKUP(H423,'Dati di Supporto'!$G$2:$H$21,2,FALSE)</f>
        <v>ISOLE</v>
      </c>
      <c r="K423">
        <f t="shared" si="6"/>
        <v>87</v>
      </c>
      <c r="L423" t="str">
        <f>_xlfn.IFS(Vendite!F423&lt;'Dati di Supporto'!$O$3,'Dati di Supporto'!$P$2,Vendite!F423&lt;'Dati di Supporto'!$O$4,'Dati di Supporto'!$P$3,Vendite!F423&lt;'Dati di Supporto'!$O$5,'Dati di Supporto'!$P$4,Vendite!F423&lt;'Dati di Supporto'!$O$6,'Dati di Supporto'!$P$5,Vendite!F423&gt;'Dati di Supporto'!$O$6,'Dati di Supporto'!$P$6)</f>
        <v>Fascia 4 (da 1200 €  a meno di 1500 €)</v>
      </c>
      <c r="M423" t="str">
        <f>_xlfn.IFS(G423='Dati di Supporto'!$O$10,'Dati di Supporto'!$P$10,Vendite!G423='Dati di Supporto'!$O$11,'Dati di Supporto'!$P$11,Vendite!G423='Dati di Supporto'!$O$12,'Dati di Supporto'!$P$12,Vendite!G423='Dati di Supporto'!$O$13,'Dati di Supporto'!$P$13,Vendite!G423='Dati di Supporto'!$O$14,'Dati di Supporto'!$P$14)</f>
        <v>Carta di credito</v>
      </c>
    </row>
    <row r="424" spans="1:13" x14ac:dyDescent="0.3">
      <c r="A424" s="11">
        <v>423</v>
      </c>
      <c r="B424" s="6">
        <v>41751</v>
      </c>
      <c r="C424" s="1" t="s">
        <v>8</v>
      </c>
      <c r="D424" s="2" t="s">
        <v>211</v>
      </c>
      <c r="E424" s="2" t="s">
        <v>251</v>
      </c>
      <c r="F424" s="3">
        <v>1940</v>
      </c>
      <c r="G424" s="15">
        <v>5</v>
      </c>
      <c r="H424" t="str">
        <f>VLOOKUP(D424,'Dati di Supporto'!$B$2:$C$104,2,FALSE)</f>
        <v>Calabria</v>
      </c>
      <c r="I424" t="str">
        <f>VLOOKUP(D424,'Dati di Supporto'!$B$2:$D$104,3,FALSE)</f>
        <v>RC</v>
      </c>
      <c r="J424" t="str">
        <f>VLOOKUP(H424,'Dati di Supporto'!$G$2:$H$21,2,FALSE)</f>
        <v>SUD</v>
      </c>
      <c r="K424">
        <f t="shared" si="6"/>
        <v>70</v>
      </c>
      <c r="L424" t="str">
        <f>_xlfn.IFS(Vendite!F424&lt;'Dati di Supporto'!$O$3,'Dati di Supporto'!$P$2,Vendite!F424&lt;'Dati di Supporto'!$O$4,'Dati di Supporto'!$P$3,Vendite!F424&lt;'Dati di Supporto'!$O$5,'Dati di Supporto'!$P$4,Vendite!F424&lt;'Dati di Supporto'!$O$6,'Dati di Supporto'!$P$5,Vendite!F424&gt;'Dati di Supporto'!$O$6,'Dati di Supporto'!$P$6)</f>
        <v>Fascia 5 (da 1500 € e oltre)</v>
      </c>
      <c r="M424" t="str">
        <f>_xlfn.IFS(G424='Dati di Supporto'!$O$10,'Dati di Supporto'!$P$10,Vendite!G424='Dati di Supporto'!$O$11,'Dati di Supporto'!$P$11,Vendite!G424='Dati di Supporto'!$O$12,'Dati di Supporto'!$P$12,Vendite!G424='Dati di Supporto'!$O$13,'Dati di Supporto'!$P$13,Vendite!G424='Dati di Supporto'!$O$14,'Dati di Supporto'!$P$14)</f>
        <v>Assegno Bancario</v>
      </c>
    </row>
    <row r="425" spans="1:13" x14ac:dyDescent="0.3">
      <c r="A425" s="11">
        <v>424</v>
      </c>
      <c r="B425" s="6">
        <v>41705</v>
      </c>
      <c r="C425" s="1" t="s">
        <v>2</v>
      </c>
      <c r="D425" s="2" t="s">
        <v>121</v>
      </c>
      <c r="E425" s="2" t="s">
        <v>11</v>
      </c>
      <c r="F425" s="3">
        <v>1590</v>
      </c>
      <c r="G425" s="15">
        <v>5</v>
      </c>
      <c r="H425" t="str">
        <f>VLOOKUP(D425,'Dati di Supporto'!$B$2:$C$104,2,FALSE)</f>
        <v>Umbria</v>
      </c>
      <c r="I425" t="str">
        <f>VLOOKUP(D425,'Dati di Supporto'!$B$2:$D$104,3,FALSE)</f>
        <v>TR</v>
      </c>
      <c r="J425" t="str">
        <f>VLOOKUP(H425,'Dati di Supporto'!$G$2:$H$21,2,FALSE)</f>
        <v>CENTRO</v>
      </c>
      <c r="K425">
        <f t="shared" si="6"/>
        <v>84</v>
      </c>
      <c r="L425" t="str">
        <f>_xlfn.IFS(Vendite!F425&lt;'Dati di Supporto'!$O$3,'Dati di Supporto'!$P$2,Vendite!F425&lt;'Dati di Supporto'!$O$4,'Dati di Supporto'!$P$3,Vendite!F425&lt;'Dati di Supporto'!$O$5,'Dati di Supporto'!$P$4,Vendite!F425&lt;'Dati di Supporto'!$O$6,'Dati di Supporto'!$P$5,Vendite!F425&gt;'Dati di Supporto'!$O$6,'Dati di Supporto'!$P$6)</f>
        <v>Fascia 5 (da 1500 € e oltre)</v>
      </c>
      <c r="M425" t="str">
        <f>_xlfn.IFS(G425='Dati di Supporto'!$O$10,'Dati di Supporto'!$P$10,Vendite!G425='Dati di Supporto'!$O$11,'Dati di Supporto'!$P$11,Vendite!G425='Dati di Supporto'!$O$12,'Dati di Supporto'!$P$12,Vendite!G425='Dati di Supporto'!$O$13,'Dati di Supporto'!$P$13,Vendite!G425='Dati di Supporto'!$O$14,'Dati di Supporto'!$P$14)</f>
        <v>Assegno Bancario</v>
      </c>
    </row>
    <row r="426" spans="1:13" x14ac:dyDescent="0.3">
      <c r="A426" s="11">
        <v>425</v>
      </c>
      <c r="B426" s="6">
        <v>41762</v>
      </c>
      <c r="C426" s="1" t="s">
        <v>8</v>
      </c>
      <c r="D426" s="2" t="s">
        <v>103</v>
      </c>
      <c r="E426" s="2" t="s">
        <v>10</v>
      </c>
      <c r="F426" s="3">
        <v>882</v>
      </c>
      <c r="G426" s="15">
        <v>1</v>
      </c>
      <c r="H426" t="str">
        <f>VLOOKUP(D426,'Dati di Supporto'!$B$2:$C$104,2,FALSE)</f>
        <v>Toscana</v>
      </c>
      <c r="I426" t="str">
        <f>VLOOKUP(D426,'Dati di Supporto'!$B$2:$D$104,3,FALSE)</f>
        <v>PT</v>
      </c>
      <c r="J426" t="str">
        <f>VLOOKUP(H426,'Dati di Supporto'!$G$2:$H$21,2,FALSE)</f>
        <v>CENTRO</v>
      </c>
      <c r="K426">
        <f t="shared" si="6"/>
        <v>70</v>
      </c>
      <c r="L426" t="str">
        <f>_xlfn.IFS(Vendite!F426&lt;'Dati di Supporto'!$O$3,'Dati di Supporto'!$P$2,Vendite!F426&lt;'Dati di Supporto'!$O$4,'Dati di Supporto'!$P$3,Vendite!F426&lt;'Dati di Supporto'!$O$5,'Dati di Supporto'!$P$4,Vendite!F426&lt;'Dati di Supporto'!$O$6,'Dati di Supporto'!$P$5,Vendite!F426&gt;'Dati di Supporto'!$O$6,'Dati di Supporto'!$P$6)</f>
        <v>Fascia 3 (da 800 €  a meno di 1200 €)</v>
      </c>
      <c r="M426" t="str">
        <f>_xlfn.IFS(G426='Dati di Supporto'!$O$10,'Dati di Supporto'!$P$10,Vendite!G426='Dati di Supporto'!$O$11,'Dati di Supporto'!$P$11,Vendite!G426='Dati di Supporto'!$O$12,'Dati di Supporto'!$P$12,Vendite!G426='Dati di Supporto'!$O$13,'Dati di Supporto'!$P$13,Vendite!G426='Dati di Supporto'!$O$14,'Dati di Supporto'!$P$14)</f>
        <v>Contanti</v>
      </c>
    </row>
    <row r="427" spans="1:13" x14ac:dyDescent="0.3">
      <c r="A427" s="11">
        <v>426</v>
      </c>
      <c r="B427" s="6">
        <v>41660</v>
      </c>
      <c r="C427" s="1" t="s">
        <v>1</v>
      </c>
      <c r="D427" s="2" t="s">
        <v>119</v>
      </c>
      <c r="E427" s="2" t="s">
        <v>10</v>
      </c>
      <c r="F427" s="3">
        <v>593</v>
      </c>
      <c r="G427" s="15">
        <v>2</v>
      </c>
      <c r="H427" t="str">
        <f>VLOOKUP(D427,'Dati di Supporto'!$B$2:$C$104,2,FALSE)</f>
        <v>Puglia</v>
      </c>
      <c r="I427" t="str">
        <f>VLOOKUP(D427,'Dati di Supporto'!$B$2:$D$104,3,FALSE)</f>
        <v>TA</v>
      </c>
      <c r="J427" t="str">
        <f>VLOOKUP(H427,'Dati di Supporto'!$G$2:$H$21,2,FALSE)</f>
        <v>SUD</v>
      </c>
      <c r="K427">
        <f t="shared" si="6"/>
        <v>96</v>
      </c>
      <c r="L427" t="str">
        <f>_xlfn.IFS(Vendite!F427&lt;'Dati di Supporto'!$O$3,'Dati di Supporto'!$P$2,Vendite!F427&lt;'Dati di Supporto'!$O$4,'Dati di Supporto'!$P$3,Vendite!F427&lt;'Dati di Supporto'!$O$5,'Dati di Supporto'!$P$4,Vendite!F427&lt;'Dati di Supporto'!$O$6,'Dati di Supporto'!$P$5,Vendite!F427&gt;'Dati di Supporto'!$O$6,'Dati di Supporto'!$P$6)</f>
        <v>Fascia 2 (da 400 €  a meno di 800 €)</v>
      </c>
      <c r="M427" t="str">
        <f>_xlfn.IFS(G427='Dati di Supporto'!$O$10,'Dati di Supporto'!$P$10,Vendite!G427='Dati di Supporto'!$O$11,'Dati di Supporto'!$P$11,Vendite!G427='Dati di Supporto'!$O$12,'Dati di Supporto'!$P$12,Vendite!G427='Dati di Supporto'!$O$13,'Dati di Supporto'!$P$13,Vendite!G427='Dati di Supporto'!$O$14,'Dati di Supporto'!$P$14)</f>
        <v>Bonifico Bancario</v>
      </c>
    </row>
    <row r="428" spans="1:13" x14ac:dyDescent="0.3">
      <c r="A428" s="11">
        <v>427</v>
      </c>
      <c r="B428" s="6">
        <v>41814</v>
      </c>
      <c r="C428" s="1" t="s">
        <v>248</v>
      </c>
      <c r="D428" s="2" t="s">
        <v>101</v>
      </c>
      <c r="E428" s="2" t="s">
        <v>251</v>
      </c>
      <c r="F428" s="3">
        <v>1853</v>
      </c>
      <c r="G428" s="15">
        <v>1</v>
      </c>
      <c r="H428" t="str">
        <f>VLOOKUP(D428,'Dati di Supporto'!$B$2:$C$104,2,FALSE)</f>
        <v>Emilia-Romagna</v>
      </c>
      <c r="I428" t="str">
        <f>VLOOKUP(D428,'Dati di Supporto'!$B$2:$D$104,3,FALSE)</f>
        <v>PC</v>
      </c>
      <c r="J428" t="str">
        <f>VLOOKUP(H428,'Dati di Supporto'!$G$2:$H$21,2,FALSE)</f>
        <v>NORD</v>
      </c>
      <c r="K428">
        <f t="shared" si="6"/>
        <v>80</v>
      </c>
      <c r="L428" t="str">
        <f>_xlfn.IFS(Vendite!F428&lt;'Dati di Supporto'!$O$3,'Dati di Supporto'!$P$2,Vendite!F428&lt;'Dati di Supporto'!$O$4,'Dati di Supporto'!$P$3,Vendite!F428&lt;'Dati di Supporto'!$O$5,'Dati di Supporto'!$P$4,Vendite!F428&lt;'Dati di Supporto'!$O$6,'Dati di Supporto'!$P$5,Vendite!F428&gt;'Dati di Supporto'!$O$6,'Dati di Supporto'!$P$6)</f>
        <v>Fascia 5 (da 1500 € e oltre)</v>
      </c>
      <c r="M428" t="str">
        <f>_xlfn.IFS(G428='Dati di Supporto'!$O$10,'Dati di Supporto'!$P$10,Vendite!G428='Dati di Supporto'!$O$11,'Dati di Supporto'!$P$11,Vendite!G428='Dati di Supporto'!$O$12,'Dati di Supporto'!$P$12,Vendite!G428='Dati di Supporto'!$O$13,'Dati di Supporto'!$P$13,Vendite!G428='Dati di Supporto'!$O$14,'Dati di Supporto'!$P$14)</f>
        <v>Contanti</v>
      </c>
    </row>
    <row r="429" spans="1:13" x14ac:dyDescent="0.3">
      <c r="A429" s="11">
        <v>428</v>
      </c>
      <c r="B429" s="6">
        <v>41640</v>
      </c>
      <c r="C429" s="1" t="s">
        <v>2</v>
      </c>
      <c r="D429" s="2" t="s">
        <v>102</v>
      </c>
      <c r="E429" s="2" t="s">
        <v>252</v>
      </c>
      <c r="F429" s="3">
        <v>1276</v>
      </c>
      <c r="G429" s="15">
        <v>3</v>
      </c>
      <c r="H429" t="str">
        <f>VLOOKUP(D429,'Dati di Supporto'!$B$2:$C$104,2,FALSE)</f>
        <v>Toscana</v>
      </c>
      <c r="I429" t="str">
        <f>VLOOKUP(D429,'Dati di Supporto'!$B$2:$D$104,3,FALSE)</f>
        <v>PI</v>
      </c>
      <c r="J429" t="str">
        <f>VLOOKUP(H429,'Dati di Supporto'!$G$2:$H$21,2,FALSE)</f>
        <v>CENTRO</v>
      </c>
      <c r="K429">
        <f t="shared" si="6"/>
        <v>84</v>
      </c>
      <c r="L429" t="str">
        <f>_xlfn.IFS(Vendite!F429&lt;'Dati di Supporto'!$O$3,'Dati di Supporto'!$P$2,Vendite!F429&lt;'Dati di Supporto'!$O$4,'Dati di Supporto'!$P$3,Vendite!F429&lt;'Dati di Supporto'!$O$5,'Dati di Supporto'!$P$4,Vendite!F429&lt;'Dati di Supporto'!$O$6,'Dati di Supporto'!$P$5,Vendite!F429&gt;'Dati di Supporto'!$O$6,'Dati di Supporto'!$P$6)</f>
        <v>Fascia 4 (da 1200 €  a meno di 1500 €)</v>
      </c>
      <c r="M429" t="str">
        <f>_xlfn.IFS(G429='Dati di Supporto'!$O$10,'Dati di Supporto'!$P$10,Vendite!G429='Dati di Supporto'!$O$11,'Dati di Supporto'!$P$11,Vendite!G429='Dati di Supporto'!$O$12,'Dati di Supporto'!$P$12,Vendite!G429='Dati di Supporto'!$O$13,'Dati di Supporto'!$P$13,Vendite!G429='Dati di Supporto'!$O$14,'Dati di Supporto'!$P$14)</f>
        <v>Carta di credito</v>
      </c>
    </row>
    <row r="430" spans="1:13" x14ac:dyDescent="0.3">
      <c r="A430" s="11">
        <v>429</v>
      </c>
      <c r="B430" s="6">
        <v>41651</v>
      </c>
      <c r="C430" s="1" t="s">
        <v>3</v>
      </c>
      <c r="D430" s="2" t="s">
        <v>98</v>
      </c>
      <c r="E430" s="2" t="s">
        <v>11</v>
      </c>
      <c r="F430" s="3">
        <v>563</v>
      </c>
      <c r="G430" s="15">
        <v>1</v>
      </c>
      <c r="H430" t="str">
        <f>VLOOKUP(D430,'Dati di Supporto'!$B$2:$C$104,2,FALSE)</f>
        <v>Umbria</v>
      </c>
      <c r="I430" t="str">
        <f>VLOOKUP(D430,'Dati di Supporto'!$B$2:$D$104,3,FALSE)</f>
        <v>PG</v>
      </c>
      <c r="J430" t="str">
        <f>VLOOKUP(H430,'Dati di Supporto'!$G$2:$H$21,2,FALSE)</f>
        <v>CENTRO</v>
      </c>
      <c r="K430">
        <f t="shared" si="6"/>
        <v>87</v>
      </c>
      <c r="L430" t="str">
        <f>_xlfn.IFS(Vendite!F430&lt;'Dati di Supporto'!$O$3,'Dati di Supporto'!$P$2,Vendite!F430&lt;'Dati di Supporto'!$O$4,'Dati di Supporto'!$P$3,Vendite!F430&lt;'Dati di Supporto'!$O$5,'Dati di Supporto'!$P$4,Vendite!F430&lt;'Dati di Supporto'!$O$6,'Dati di Supporto'!$P$5,Vendite!F430&gt;'Dati di Supporto'!$O$6,'Dati di Supporto'!$P$6)</f>
        <v>Fascia 2 (da 400 €  a meno di 800 €)</v>
      </c>
      <c r="M430" t="str">
        <f>_xlfn.IFS(G430='Dati di Supporto'!$O$10,'Dati di Supporto'!$P$10,Vendite!G430='Dati di Supporto'!$O$11,'Dati di Supporto'!$P$11,Vendite!G430='Dati di Supporto'!$O$12,'Dati di Supporto'!$P$12,Vendite!G430='Dati di Supporto'!$O$13,'Dati di Supporto'!$P$13,Vendite!G430='Dati di Supporto'!$O$14,'Dati di Supporto'!$P$14)</f>
        <v>Contanti</v>
      </c>
    </row>
    <row r="431" spans="1:13" x14ac:dyDescent="0.3">
      <c r="A431" s="11">
        <v>430</v>
      </c>
      <c r="B431" s="6">
        <v>41677</v>
      </c>
      <c r="C431" s="1" t="s">
        <v>247</v>
      </c>
      <c r="D431" s="2" t="s">
        <v>133</v>
      </c>
      <c r="E431" s="2" t="s">
        <v>10</v>
      </c>
      <c r="F431" s="3">
        <v>114</v>
      </c>
      <c r="G431" s="15">
        <v>4</v>
      </c>
      <c r="H431" t="str">
        <f>VLOOKUP(D431,'Dati di Supporto'!$B$2:$C$104,2,FALSE)</f>
        <v>Calabria</v>
      </c>
      <c r="I431" t="str">
        <f>VLOOKUP(D431,'Dati di Supporto'!$B$2:$D$104,3,FALSE)</f>
        <v>VV</v>
      </c>
      <c r="J431" t="str">
        <f>VLOOKUP(H431,'Dati di Supporto'!$G$2:$H$21,2,FALSE)</f>
        <v>SUD</v>
      </c>
      <c r="K431">
        <f t="shared" si="6"/>
        <v>83</v>
      </c>
      <c r="L431" t="str">
        <f>_xlfn.IFS(Vendite!F431&lt;'Dati di Supporto'!$O$3,'Dati di Supporto'!$P$2,Vendite!F431&lt;'Dati di Supporto'!$O$4,'Dati di Supporto'!$P$3,Vendite!F431&lt;'Dati di Supporto'!$O$5,'Dati di Supporto'!$P$4,Vendite!F431&lt;'Dati di Supporto'!$O$6,'Dati di Supporto'!$P$5,Vendite!F431&gt;'Dati di Supporto'!$O$6,'Dati di Supporto'!$P$6)</f>
        <v>Fascia 1 (inferiore a 400 €)</v>
      </c>
      <c r="M431" t="str">
        <f>_xlfn.IFS(G431='Dati di Supporto'!$O$10,'Dati di Supporto'!$P$10,Vendite!G431='Dati di Supporto'!$O$11,'Dati di Supporto'!$P$11,Vendite!G431='Dati di Supporto'!$O$12,'Dati di Supporto'!$P$12,Vendite!G431='Dati di Supporto'!$O$13,'Dati di Supporto'!$P$13,Vendite!G431='Dati di Supporto'!$O$14,'Dati di Supporto'!$P$14)</f>
        <v>Bollettino postale</v>
      </c>
    </row>
    <row r="432" spans="1:13" x14ac:dyDescent="0.3">
      <c r="A432" s="11">
        <v>431</v>
      </c>
      <c r="B432" s="6">
        <v>41662</v>
      </c>
      <c r="C432" s="1" t="s">
        <v>247</v>
      </c>
      <c r="D432" s="2" t="s">
        <v>119</v>
      </c>
      <c r="E432" s="2" t="s">
        <v>252</v>
      </c>
      <c r="F432" s="3">
        <v>997</v>
      </c>
      <c r="G432" s="15">
        <v>3</v>
      </c>
      <c r="H432" t="str">
        <f>VLOOKUP(D432,'Dati di Supporto'!$B$2:$C$104,2,FALSE)</f>
        <v>Puglia</v>
      </c>
      <c r="I432" t="str">
        <f>VLOOKUP(D432,'Dati di Supporto'!$B$2:$D$104,3,FALSE)</f>
        <v>TA</v>
      </c>
      <c r="J432" t="str">
        <f>VLOOKUP(H432,'Dati di Supporto'!$G$2:$H$21,2,FALSE)</f>
        <v>SUD</v>
      </c>
      <c r="K432">
        <f t="shared" si="6"/>
        <v>83</v>
      </c>
      <c r="L432" t="str">
        <f>_xlfn.IFS(Vendite!F432&lt;'Dati di Supporto'!$O$3,'Dati di Supporto'!$P$2,Vendite!F432&lt;'Dati di Supporto'!$O$4,'Dati di Supporto'!$P$3,Vendite!F432&lt;'Dati di Supporto'!$O$5,'Dati di Supporto'!$P$4,Vendite!F432&lt;'Dati di Supporto'!$O$6,'Dati di Supporto'!$P$5,Vendite!F432&gt;'Dati di Supporto'!$O$6,'Dati di Supporto'!$P$6)</f>
        <v>Fascia 3 (da 800 €  a meno di 1200 €)</v>
      </c>
      <c r="M432" t="str">
        <f>_xlfn.IFS(G432='Dati di Supporto'!$O$10,'Dati di Supporto'!$P$10,Vendite!G432='Dati di Supporto'!$O$11,'Dati di Supporto'!$P$11,Vendite!G432='Dati di Supporto'!$O$12,'Dati di Supporto'!$P$12,Vendite!G432='Dati di Supporto'!$O$13,'Dati di Supporto'!$P$13,Vendite!G432='Dati di Supporto'!$O$14,'Dati di Supporto'!$P$14)</f>
        <v>Carta di credito</v>
      </c>
    </row>
    <row r="433" spans="1:13" x14ac:dyDescent="0.3">
      <c r="A433" s="11">
        <v>432</v>
      </c>
      <c r="B433" s="6">
        <v>41771</v>
      </c>
      <c r="C433" s="1" t="s">
        <v>1</v>
      </c>
      <c r="D433" s="2" t="s">
        <v>116</v>
      </c>
      <c r="E433" s="2" t="s">
        <v>251</v>
      </c>
      <c r="F433" s="3">
        <v>492</v>
      </c>
      <c r="G433" s="15">
        <v>1</v>
      </c>
      <c r="H433" t="str">
        <f>VLOOKUP(D433,'Dati di Supporto'!$B$2:$C$104,2,FALSE)</f>
        <v>Toscana</v>
      </c>
      <c r="I433" t="str">
        <f>VLOOKUP(D433,'Dati di Supporto'!$B$2:$D$104,3,FALSE)</f>
        <v>SI</v>
      </c>
      <c r="J433" t="str">
        <f>VLOOKUP(H433,'Dati di Supporto'!$G$2:$H$21,2,FALSE)</f>
        <v>CENTRO</v>
      </c>
      <c r="K433">
        <f t="shared" si="6"/>
        <v>96</v>
      </c>
      <c r="L433" t="str">
        <f>_xlfn.IFS(Vendite!F433&lt;'Dati di Supporto'!$O$3,'Dati di Supporto'!$P$2,Vendite!F433&lt;'Dati di Supporto'!$O$4,'Dati di Supporto'!$P$3,Vendite!F433&lt;'Dati di Supporto'!$O$5,'Dati di Supporto'!$P$4,Vendite!F433&lt;'Dati di Supporto'!$O$6,'Dati di Supporto'!$P$5,Vendite!F433&gt;'Dati di Supporto'!$O$6,'Dati di Supporto'!$P$6)</f>
        <v>Fascia 2 (da 400 €  a meno di 800 €)</v>
      </c>
      <c r="M433" t="str">
        <f>_xlfn.IFS(G433='Dati di Supporto'!$O$10,'Dati di Supporto'!$P$10,Vendite!G433='Dati di Supporto'!$O$11,'Dati di Supporto'!$P$11,Vendite!G433='Dati di Supporto'!$O$12,'Dati di Supporto'!$P$12,Vendite!G433='Dati di Supporto'!$O$13,'Dati di Supporto'!$P$13,Vendite!G433='Dati di Supporto'!$O$14,'Dati di Supporto'!$P$14)</f>
        <v>Contanti</v>
      </c>
    </row>
    <row r="434" spans="1:13" x14ac:dyDescent="0.3">
      <c r="A434" s="11">
        <v>433</v>
      </c>
      <c r="B434" s="6">
        <v>41679</v>
      </c>
      <c r="C434" s="1" t="s">
        <v>248</v>
      </c>
      <c r="D434" s="2" t="s">
        <v>135</v>
      </c>
      <c r="E434" s="2" t="s">
        <v>250</v>
      </c>
      <c r="F434" s="3">
        <v>1722</v>
      </c>
      <c r="G434" s="15">
        <v>3</v>
      </c>
      <c r="H434" t="str">
        <f>VLOOKUP(D434,'Dati di Supporto'!$B$2:$C$104,2,FALSE)</f>
        <v>Lazio</v>
      </c>
      <c r="I434" t="str">
        <f>VLOOKUP(D434,'Dati di Supporto'!$B$2:$D$104,3,FALSE)</f>
        <v>VT</v>
      </c>
      <c r="J434" t="str">
        <f>VLOOKUP(H434,'Dati di Supporto'!$G$2:$H$21,2,FALSE)</f>
        <v>CENTRO</v>
      </c>
      <c r="K434">
        <f t="shared" si="6"/>
        <v>80</v>
      </c>
      <c r="L434" t="str">
        <f>_xlfn.IFS(Vendite!F434&lt;'Dati di Supporto'!$O$3,'Dati di Supporto'!$P$2,Vendite!F434&lt;'Dati di Supporto'!$O$4,'Dati di Supporto'!$P$3,Vendite!F434&lt;'Dati di Supporto'!$O$5,'Dati di Supporto'!$P$4,Vendite!F434&lt;'Dati di Supporto'!$O$6,'Dati di Supporto'!$P$5,Vendite!F434&gt;'Dati di Supporto'!$O$6,'Dati di Supporto'!$P$6)</f>
        <v>Fascia 5 (da 1500 € e oltre)</v>
      </c>
      <c r="M434" t="str">
        <f>_xlfn.IFS(G434='Dati di Supporto'!$O$10,'Dati di Supporto'!$P$10,Vendite!G434='Dati di Supporto'!$O$11,'Dati di Supporto'!$P$11,Vendite!G434='Dati di Supporto'!$O$12,'Dati di Supporto'!$P$12,Vendite!G434='Dati di Supporto'!$O$13,'Dati di Supporto'!$P$13,Vendite!G434='Dati di Supporto'!$O$14,'Dati di Supporto'!$P$14)</f>
        <v>Carta di credito</v>
      </c>
    </row>
    <row r="435" spans="1:13" x14ac:dyDescent="0.3">
      <c r="A435" s="11">
        <v>434</v>
      </c>
      <c r="B435" s="6">
        <v>41744</v>
      </c>
      <c r="C435" s="1" t="s">
        <v>1</v>
      </c>
      <c r="D435" s="2" t="s">
        <v>129</v>
      </c>
      <c r="E435" s="2" t="s">
        <v>10</v>
      </c>
      <c r="F435" s="3">
        <v>1314</v>
      </c>
      <c r="G435" s="15">
        <v>5</v>
      </c>
      <c r="H435" t="str">
        <f>VLOOKUP(D435,'Dati di Supporto'!$B$2:$C$104,2,FALSE)</f>
        <v>Veneto</v>
      </c>
      <c r="I435" t="str">
        <f>VLOOKUP(D435,'Dati di Supporto'!$B$2:$D$104,3,FALSE)</f>
        <v>VE</v>
      </c>
      <c r="J435" t="str">
        <f>VLOOKUP(H435,'Dati di Supporto'!$G$2:$H$21,2,FALSE)</f>
        <v>NORD</v>
      </c>
      <c r="K435">
        <f t="shared" si="6"/>
        <v>96</v>
      </c>
      <c r="L435" t="str">
        <f>_xlfn.IFS(Vendite!F435&lt;'Dati di Supporto'!$O$3,'Dati di Supporto'!$P$2,Vendite!F435&lt;'Dati di Supporto'!$O$4,'Dati di Supporto'!$P$3,Vendite!F435&lt;'Dati di Supporto'!$O$5,'Dati di Supporto'!$P$4,Vendite!F435&lt;'Dati di Supporto'!$O$6,'Dati di Supporto'!$P$5,Vendite!F435&gt;'Dati di Supporto'!$O$6,'Dati di Supporto'!$P$6)</f>
        <v>Fascia 4 (da 1200 €  a meno di 1500 €)</v>
      </c>
      <c r="M435" t="str">
        <f>_xlfn.IFS(G435='Dati di Supporto'!$O$10,'Dati di Supporto'!$P$10,Vendite!G435='Dati di Supporto'!$O$11,'Dati di Supporto'!$P$11,Vendite!G435='Dati di Supporto'!$O$12,'Dati di Supporto'!$P$12,Vendite!G435='Dati di Supporto'!$O$13,'Dati di Supporto'!$P$13,Vendite!G435='Dati di Supporto'!$O$14,'Dati di Supporto'!$P$14)</f>
        <v>Assegno Bancario</v>
      </c>
    </row>
    <row r="436" spans="1:13" x14ac:dyDescent="0.3">
      <c r="A436" s="11">
        <v>435</v>
      </c>
      <c r="B436" s="6">
        <v>41681</v>
      </c>
      <c r="C436" s="1" t="s">
        <v>248</v>
      </c>
      <c r="D436" s="2" t="s">
        <v>109</v>
      </c>
      <c r="E436" s="2" t="s">
        <v>251</v>
      </c>
      <c r="F436" s="3">
        <v>702</v>
      </c>
      <c r="G436" s="15">
        <v>2</v>
      </c>
      <c r="H436" t="str">
        <f>VLOOKUP(D436,'Dati di Supporto'!$B$2:$C$104,2,FALSE)</f>
        <v>Lazio</v>
      </c>
      <c r="I436" t="str">
        <f>VLOOKUP(D436,'Dati di Supporto'!$B$2:$D$104,3,FALSE)</f>
        <v>RI</v>
      </c>
      <c r="J436" t="str">
        <f>VLOOKUP(H436,'Dati di Supporto'!$G$2:$H$21,2,FALSE)</f>
        <v>CENTRO</v>
      </c>
      <c r="K436">
        <f t="shared" si="6"/>
        <v>80</v>
      </c>
      <c r="L436" t="str">
        <f>_xlfn.IFS(Vendite!F436&lt;'Dati di Supporto'!$O$3,'Dati di Supporto'!$P$2,Vendite!F436&lt;'Dati di Supporto'!$O$4,'Dati di Supporto'!$P$3,Vendite!F436&lt;'Dati di Supporto'!$O$5,'Dati di Supporto'!$P$4,Vendite!F436&lt;'Dati di Supporto'!$O$6,'Dati di Supporto'!$P$5,Vendite!F436&gt;'Dati di Supporto'!$O$6,'Dati di Supporto'!$P$6)</f>
        <v>Fascia 2 (da 400 €  a meno di 800 €)</v>
      </c>
      <c r="M436" t="str">
        <f>_xlfn.IFS(G436='Dati di Supporto'!$O$10,'Dati di Supporto'!$P$10,Vendite!G436='Dati di Supporto'!$O$11,'Dati di Supporto'!$P$11,Vendite!G436='Dati di Supporto'!$O$12,'Dati di Supporto'!$P$12,Vendite!G436='Dati di Supporto'!$O$13,'Dati di Supporto'!$P$13,Vendite!G436='Dati di Supporto'!$O$14,'Dati di Supporto'!$P$14)</f>
        <v>Bonifico Bancario</v>
      </c>
    </row>
    <row r="437" spans="1:13" x14ac:dyDescent="0.3">
      <c r="A437" s="11">
        <v>436</v>
      </c>
      <c r="B437" s="6">
        <v>41818</v>
      </c>
      <c r="C437" s="1" t="s">
        <v>3</v>
      </c>
      <c r="D437" s="2" t="s">
        <v>114</v>
      </c>
      <c r="E437" s="2" t="s">
        <v>10</v>
      </c>
      <c r="F437" s="3">
        <v>1090</v>
      </c>
      <c r="G437" s="15">
        <v>2</v>
      </c>
      <c r="H437" t="str">
        <f>VLOOKUP(D437,'Dati di Supporto'!$B$2:$C$104,2,FALSE)</f>
        <v>Sardegna</v>
      </c>
      <c r="I437" t="str">
        <f>VLOOKUP(D437,'Dati di Supporto'!$B$2:$D$104,3,FALSE)</f>
        <v>SS</v>
      </c>
      <c r="J437" t="str">
        <f>VLOOKUP(H437,'Dati di Supporto'!$G$2:$H$21,2,FALSE)</f>
        <v>ISOLE</v>
      </c>
      <c r="K437">
        <f t="shared" si="6"/>
        <v>87</v>
      </c>
      <c r="L437" t="str">
        <f>_xlfn.IFS(Vendite!F437&lt;'Dati di Supporto'!$O$3,'Dati di Supporto'!$P$2,Vendite!F437&lt;'Dati di Supporto'!$O$4,'Dati di Supporto'!$P$3,Vendite!F437&lt;'Dati di Supporto'!$O$5,'Dati di Supporto'!$P$4,Vendite!F437&lt;'Dati di Supporto'!$O$6,'Dati di Supporto'!$P$5,Vendite!F437&gt;'Dati di Supporto'!$O$6,'Dati di Supporto'!$P$6)</f>
        <v>Fascia 3 (da 800 €  a meno di 1200 €)</v>
      </c>
      <c r="M437" t="str">
        <f>_xlfn.IFS(G437='Dati di Supporto'!$O$10,'Dati di Supporto'!$P$10,Vendite!G437='Dati di Supporto'!$O$11,'Dati di Supporto'!$P$11,Vendite!G437='Dati di Supporto'!$O$12,'Dati di Supporto'!$P$12,Vendite!G437='Dati di Supporto'!$O$13,'Dati di Supporto'!$P$13,Vendite!G437='Dati di Supporto'!$O$14,'Dati di Supporto'!$P$14)</f>
        <v>Bonifico Bancario</v>
      </c>
    </row>
    <row r="438" spans="1:13" x14ac:dyDescent="0.3">
      <c r="A438" s="11">
        <v>437</v>
      </c>
      <c r="B438" s="6">
        <v>41794</v>
      </c>
      <c r="C438" s="1" t="s">
        <v>247</v>
      </c>
      <c r="D438" s="2" t="s">
        <v>116</v>
      </c>
      <c r="E438" s="2" t="s">
        <v>11</v>
      </c>
      <c r="F438" s="3">
        <v>1552</v>
      </c>
      <c r="G438" s="15">
        <v>5</v>
      </c>
      <c r="H438" t="str">
        <f>VLOOKUP(D438,'Dati di Supporto'!$B$2:$C$104,2,FALSE)</f>
        <v>Toscana</v>
      </c>
      <c r="I438" t="str">
        <f>VLOOKUP(D438,'Dati di Supporto'!$B$2:$D$104,3,FALSE)</f>
        <v>SI</v>
      </c>
      <c r="J438" t="str">
        <f>VLOOKUP(H438,'Dati di Supporto'!$G$2:$H$21,2,FALSE)</f>
        <v>CENTRO</v>
      </c>
      <c r="K438">
        <f t="shared" si="6"/>
        <v>83</v>
      </c>
      <c r="L438" t="str">
        <f>_xlfn.IFS(Vendite!F438&lt;'Dati di Supporto'!$O$3,'Dati di Supporto'!$P$2,Vendite!F438&lt;'Dati di Supporto'!$O$4,'Dati di Supporto'!$P$3,Vendite!F438&lt;'Dati di Supporto'!$O$5,'Dati di Supporto'!$P$4,Vendite!F438&lt;'Dati di Supporto'!$O$6,'Dati di Supporto'!$P$5,Vendite!F438&gt;'Dati di Supporto'!$O$6,'Dati di Supporto'!$P$6)</f>
        <v>Fascia 5 (da 1500 € e oltre)</v>
      </c>
      <c r="M438" t="str">
        <f>_xlfn.IFS(G438='Dati di Supporto'!$O$10,'Dati di Supporto'!$P$10,Vendite!G438='Dati di Supporto'!$O$11,'Dati di Supporto'!$P$11,Vendite!G438='Dati di Supporto'!$O$12,'Dati di Supporto'!$P$12,Vendite!G438='Dati di Supporto'!$O$13,'Dati di Supporto'!$P$13,Vendite!G438='Dati di Supporto'!$O$14,'Dati di Supporto'!$P$14)</f>
        <v>Assegno Bancario</v>
      </c>
    </row>
    <row r="439" spans="1:13" x14ac:dyDescent="0.3">
      <c r="A439" s="11">
        <v>438</v>
      </c>
      <c r="B439" s="6">
        <v>41723</v>
      </c>
      <c r="C439" s="1" t="s">
        <v>247</v>
      </c>
      <c r="D439" s="2" t="s">
        <v>211</v>
      </c>
      <c r="E439" s="2" t="s">
        <v>10</v>
      </c>
      <c r="F439" s="3">
        <v>1087</v>
      </c>
      <c r="G439" s="15">
        <v>4</v>
      </c>
      <c r="H439" t="str">
        <f>VLOOKUP(D439,'Dati di Supporto'!$B$2:$C$104,2,FALSE)</f>
        <v>Calabria</v>
      </c>
      <c r="I439" t="str">
        <f>VLOOKUP(D439,'Dati di Supporto'!$B$2:$D$104,3,FALSE)</f>
        <v>RC</v>
      </c>
      <c r="J439" t="str">
        <f>VLOOKUP(H439,'Dati di Supporto'!$G$2:$H$21,2,FALSE)</f>
        <v>SUD</v>
      </c>
      <c r="K439">
        <f t="shared" si="6"/>
        <v>83</v>
      </c>
      <c r="L439" t="str">
        <f>_xlfn.IFS(Vendite!F439&lt;'Dati di Supporto'!$O$3,'Dati di Supporto'!$P$2,Vendite!F439&lt;'Dati di Supporto'!$O$4,'Dati di Supporto'!$P$3,Vendite!F439&lt;'Dati di Supporto'!$O$5,'Dati di Supporto'!$P$4,Vendite!F439&lt;'Dati di Supporto'!$O$6,'Dati di Supporto'!$P$5,Vendite!F439&gt;'Dati di Supporto'!$O$6,'Dati di Supporto'!$P$6)</f>
        <v>Fascia 3 (da 800 €  a meno di 1200 €)</v>
      </c>
      <c r="M439" t="str">
        <f>_xlfn.IFS(G439='Dati di Supporto'!$O$10,'Dati di Supporto'!$P$10,Vendite!G439='Dati di Supporto'!$O$11,'Dati di Supporto'!$P$11,Vendite!G439='Dati di Supporto'!$O$12,'Dati di Supporto'!$P$12,Vendite!G439='Dati di Supporto'!$O$13,'Dati di Supporto'!$P$13,Vendite!G439='Dati di Supporto'!$O$14,'Dati di Supporto'!$P$14)</f>
        <v>Bollettino postale</v>
      </c>
    </row>
    <row r="440" spans="1:13" x14ac:dyDescent="0.3">
      <c r="A440" s="11">
        <v>439</v>
      </c>
      <c r="B440" s="6">
        <v>41755</v>
      </c>
      <c r="C440" s="1" t="s">
        <v>1</v>
      </c>
      <c r="D440" s="2" t="s">
        <v>105</v>
      </c>
      <c r="E440" s="2" t="s">
        <v>251</v>
      </c>
      <c r="F440" s="3">
        <v>665</v>
      </c>
      <c r="G440" s="15">
        <v>4</v>
      </c>
      <c r="H440" t="str">
        <f>VLOOKUP(D440,'Dati di Supporto'!$B$2:$C$104,2,FALSE)</f>
        <v>Basilicata</v>
      </c>
      <c r="I440" t="str">
        <f>VLOOKUP(D440,'Dati di Supporto'!$B$2:$D$104,3,FALSE)</f>
        <v>PZ</v>
      </c>
      <c r="J440" t="str">
        <f>VLOOKUP(H440,'Dati di Supporto'!$G$2:$H$21,2,FALSE)</f>
        <v>SUD</v>
      </c>
      <c r="K440">
        <f t="shared" si="6"/>
        <v>96</v>
      </c>
      <c r="L440" t="str">
        <f>_xlfn.IFS(Vendite!F440&lt;'Dati di Supporto'!$O$3,'Dati di Supporto'!$P$2,Vendite!F440&lt;'Dati di Supporto'!$O$4,'Dati di Supporto'!$P$3,Vendite!F440&lt;'Dati di Supporto'!$O$5,'Dati di Supporto'!$P$4,Vendite!F440&lt;'Dati di Supporto'!$O$6,'Dati di Supporto'!$P$5,Vendite!F440&gt;'Dati di Supporto'!$O$6,'Dati di Supporto'!$P$6)</f>
        <v>Fascia 2 (da 400 €  a meno di 800 €)</v>
      </c>
      <c r="M440" t="str">
        <f>_xlfn.IFS(G440='Dati di Supporto'!$O$10,'Dati di Supporto'!$P$10,Vendite!G440='Dati di Supporto'!$O$11,'Dati di Supporto'!$P$11,Vendite!G440='Dati di Supporto'!$O$12,'Dati di Supporto'!$P$12,Vendite!G440='Dati di Supporto'!$O$13,'Dati di Supporto'!$P$13,Vendite!G440='Dati di Supporto'!$O$14,'Dati di Supporto'!$P$14)</f>
        <v>Bollettino postale</v>
      </c>
    </row>
    <row r="441" spans="1:13" x14ac:dyDescent="0.3">
      <c r="A441" s="11">
        <v>440</v>
      </c>
      <c r="B441" s="6">
        <v>41775</v>
      </c>
      <c r="C441" s="1" t="s">
        <v>247</v>
      </c>
      <c r="D441" s="2" t="s">
        <v>132</v>
      </c>
      <c r="E441" s="2" t="s">
        <v>250</v>
      </c>
      <c r="F441" s="3">
        <v>1247</v>
      </c>
      <c r="G441" s="15">
        <v>5</v>
      </c>
      <c r="H441" t="str">
        <f>VLOOKUP(D441,'Dati di Supporto'!$B$2:$C$104,2,FALSE)</f>
        <v>Veneto</v>
      </c>
      <c r="I441" t="str">
        <f>VLOOKUP(D441,'Dati di Supporto'!$B$2:$D$104,3,FALSE)</f>
        <v>VR</v>
      </c>
      <c r="J441" t="str">
        <f>VLOOKUP(H441,'Dati di Supporto'!$G$2:$H$21,2,FALSE)</f>
        <v>NORD</v>
      </c>
      <c r="K441">
        <f t="shared" si="6"/>
        <v>83</v>
      </c>
      <c r="L441" t="str">
        <f>_xlfn.IFS(Vendite!F441&lt;'Dati di Supporto'!$O$3,'Dati di Supporto'!$P$2,Vendite!F441&lt;'Dati di Supporto'!$O$4,'Dati di Supporto'!$P$3,Vendite!F441&lt;'Dati di Supporto'!$O$5,'Dati di Supporto'!$P$4,Vendite!F441&lt;'Dati di Supporto'!$O$6,'Dati di Supporto'!$P$5,Vendite!F441&gt;'Dati di Supporto'!$O$6,'Dati di Supporto'!$P$6)</f>
        <v>Fascia 4 (da 1200 €  a meno di 1500 €)</v>
      </c>
      <c r="M441" t="str">
        <f>_xlfn.IFS(G441='Dati di Supporto'!$O$10,'Dati di Supporto'!$P$10,Vendite!G441='Dati di Supporto'!$O$11,'Dati di Supporto'!$P$11,Vendite!G441='Dati di Supporto'!$O$12,'Dati di Supporto'!$P$12,Vendite!G441='Dati di Supporto'!$O$13,'Dati di Supporto'!$P$13,Vendite!G441='Dati di Supporto'!$O$14,'Dati di Supporto'!$P$14)</f>
        <v>Assegno Bancario</v>
      </c>
    </row>
    <row r="442" spans="1:13" x14ac:dyDescent="0.3">
      <c r="A442" s="11">
        <v>441</v>
      </c>
      <c r="B442" s="6">
        <v>41818</v>
      </c>
      <c r="C442" s="1" t="s">
        <v>247</v>
      </c>
      <c r="D442" s="2" t="s">
        <v>213</v>
      </c>
      <c r="E442" s="2" t="s">
        <v>252</v>
      </c>
      <c r="F442" s="3">
        <v>1265</v>
      </c>
      <c r="G442" s="15">
        <v>5</v>
      </c>
      <c r="H442" t="str">
        <f>VLOOKUP(D442,'Dati di Supporto'!$B$2:$C$104,2,FALSE)</f>
        <v>Emilia-Romagna</v>
      </c>
      <c r="I442" t="str">
        <f>VLOOKUP(D442,'Dati di Supporto'!$B$2:$D$104,3,FALSE)</f>
        <v>RE</v>
      </c>
      <c r="J442" t="str">
        <f>VLOOKUP(H442,'Dati di Supporto'!$G$2:$H$21,2,FALSE)</f>
        <v>NORD</v>
      </c>
      <c r="K442">
        <f t="shared" si="6"/>
        <v>83</v>
      </c>
      <c r="L442" t="str">
        <f>_xlfn.IFS(Vendite!F442&lt;'Dati di Supporto'!$O$3,'Dati di Supporto'!$P$2,Vendite!F442&lt;'Dati di Supporto'!$O$4,'Dati di Supporto'!$P$3,Vendite!F442&lt;'Dati di Supporto'!$O$5,'Dati di Supporto'!$P$4,Vendite!F442&lt;'Dati di Supporto'!$O$6,'Dati di Supporto'!$P$5,Vendite!F442&gt;'Dati di Supporto'!$O$6,'Dati di Supporto'!$P$6)</f>
        <v>Fascia 4 (da 1200 €  a meno di 1500 €)</v>
      </c>
      <c r="M442" t="str">
        <f>_xlfn.IFS(G442='Dati di Supporto'!$O$10,'Dati di Supporto'!$P$10,Vendite!G442='Dati di Supporto'!$O$11,'Dati di Supporto'!$P$11,Vendite!G442='Dati di Supporto'!$O$12,'Dati di Supporto'!$P$12,Vendite!G442='Dati di Supporto'!$O$13,'Dati di Supporto'!$P$13,Vendite!G442='Dati di Supporto'!$O$14,'Dati di Supporto'!$P$14)</f>
        <v>Assegno Bancario</v>
      </c>
    </row>
    <row r="443" spans="1:13" x14ac:dyDescent="0.3">
      <c r="A443" s="11">
        <v>442</v>
      </c>
      <c r="B443" s="6">
        <v>41774</v>
      </c>
      <c r="C443" s="1" t="s">
        <v>2</v>
      </c>
      <c r="D443" s="2" t="s">
        <v>113</v>
      </c>
      <c r="E443" s="2" t="s">
        <v>250</v>
      </c>
      <c r="F443" s="3">
        <v>828</v>
      </c>
      <c r="G443" s="15">
        <v>3</v>
      </c>
      <c r="H443" t="str">
        <f>VLOOKUP(D443,'Dati di Supporto'!$B$2:$C$104,2,FALSE)</f>
        <v>Campania</v>
      </c>
      <c r="I443" t="str">
        <f>VLOOKUP(D443,'Dati di Supporto'!$B$2:$D$104,3,FALSE)</f>
        <v>SA</v>
      </c>
      <c r="J443" t="str">
        <f>VLOOKUP(H443,'Dati di Supporto'!$G$2:$H$21,2,FALSE)</f>
        <v>SUD</v>
      </c>
      <c r="K443">
        <f t="shared" si="6"/>
        <v>84</v>
      </c>
      <c r="L443" t="str">
        <f>_xlfn.IFS(Vendite!F443&lt;'Dati di Supporto'!$O$3,'Dati di Supporto'!$P$2,Vendite!F443&lt;'Dati di Supporto'!$O$4,'Dati di Supporto'!$P$3,Vendite!F443&lt;'Dati di Supporto'!$O$5,'Dati di Supporto'!$P$4,Vendite!F443&lt;'Dati di Supporto'!$O$6,'Dati di Supporto'!$P$5,Vendite!F443&gt;'Dati di Supporto'!$O$6,'Dati di Supporto'!$P$6)</f>
        <v>Fascia 3 (da 800 €  a meno di 1200 €)</v>
      </c>
      <c r="M443" t="str">
        <f>_xlfn.IFS(G443='Dati di Supporto'!$O$10,'Dati di Supporto'!$P$10,Vendite!G443='Dati di Supporto'!$O$11,'Dati di Supporto'!$P$11,Vendite!G443='Dati di Supporto'!$O$12,'Dati di Supporto'!$P$12,Vendite!G443='Dati di Supporto'!$O$13,'Dati di Supporto'!$P$13,Vendite!G443='Dati di Supporto'!$O$14,'Dati di Supporto'!$P$14)</f>
        <v>Carta di credito</v>
      </c>
    </row>
    <row r="444" spans="1:13" x14ac:dyDescent="0.3">
      <c r="A444" s="11">
        <v>443</v>
      </c>
      <c r="B444" s="6">
        <v>41698</v>
      </c>
      <c r="C444" s="1" t="s">
        <v>2</v>
      </c>
      <c r="D444" s="2" t="s">
        <v>120</v>
      </c>
      <c r="E444" s="2" t="s">
        <v>250</v>
      </c>
      <c r="F444" s="3">
        <v>1960</v>
      </c>
      <c r="G444" s="15">
        <v>3</v>
      </c>
      <c r="H444" t="str">
        <f>VLOOKUP(D444,'Dati di Supporto'!$B$2:$C$104,2,FALSE)</f>
        <v>Abruzzo</v>
      </c>
      <c r="I444" t="str">
        <f>VLOOKUP(D444,'Dati di Supporto'!$B$2:$D$104,3,FALSE)</f>
        <v>TE</v>
      </c>
      <c r="J444" t="str">
        <f>VLOOKUP(H444,'Dati di Supporto'!$G$2:$H$21,2,FALSE)</f>
        <v>CENTRO</v>
      </c>
      <c r="K444">
        <f t="shared" si="6"/>
        <v>84</v>
      </c>
      <c r="L444" t="str">
        <f>_xlfn.IFS(Vendite!F444&lt;'Dati di Supporto'!$O$3,'Dati di Supporto'!$P$2,Vendite!F444&lt;'Dati di Supporto'!$O$4,'Dati di Supporto'!$P$3,Vendite!F444&lt;'Dati di Supporto'!$O$5,'Dati di Supporto'!$P$4,Vendite!F444&lt;'Dati di Supporto'!$O$6,'Dati di Supporto'!$P$5,Vendite!F444&gt;'Dati di Supporto'!$O$6,'Dati di Supporto'!$P$6)</f>
        <v>Fascia 5 (da 1500 € e oltre)</v>
      </c>
      <c r="M444" t="str">
        <f>_xlfn.IFS(G444='Dati di Supporto'!$O$10,'Dati di Supporto'!$P$10,Vendite!G444='Dati di Supporto'!$O$11,'Dati di Supporto'!$P$11,Vendite!G444='Dati di Supporto'!$O$12,'Dati di Supporto'!$P$12,Vendite!G444='Dati di Supporto'!$O$13,'Dati di Supporto'!$P$13,Vendite!G444='Dati di Supporto'!$O$14,'Dati di Supporto'!$P$14)</f>
        <v>Carta di credito</v>
      </c>
    </row>
    <row r="445" spans="1:13" x14ac:dyDescent="0.3">
      <c r="A445" s="11">
        <v>444</v>
      </c>
      <c r="B445" s="6">
        <v>41665</v>
      </c>
      <c r="C445" s="1" t="s">
        <v>248</v>
      </c>
      <c r="D445" s="2" t="s">
        <v>97</v>
      </c>
      <c r="E445" s="2" t="s">
        <v>251</v>
      </c>
      <c r="F445" s="3">
        <v>120</v>
      </c>
      <c r="G445" s="15">
        <v>4</v>
      </c>
      <c r="H445" t="str">
        <f>VLOOKUP(D445,'Dati di Supporto'!$B$2:$C$104,2,FALSE)</f>
        <v>Lombardia</v>
      </c>
      <c r="I445" t="str">
        <f>VLOOKUP(D445,'Dati di Supporto'!$B$2:$D$104,3,FALSE)</f>
        <v>PV</v>
      </c>
      <c r="J445" t="str">
        <f>VLOOKUP(H445,'Dati di Supporto'!$G$2:$H$21,2,FALSE)</f>
        <v>NORD</v>
      </c>
      <c r="K445">
        <f t="shared" si="6"/>
        <v>80</v>
      </c>
      <c r="L445" t="str">
        <f>_xlfn.IFS(Vendite!F445&lt;'Dati di Supporto'!$O$3,'Dati di Supporto'!$P$2,Vendite!F445&lt;'Dati di Supporto'!$O$4,'Dati di Supporto'!$P$3,Vendite!F445&lt;'Dati di Supporto'!$O$5,'Dati di Supporto'!$P$4,Vendite!F445&lt;'Dati di Supporto'!$O$6,'Dati di Supporto'!$P$5,Vendite!F445&gt;'Dati di Supporto'!$O$6,'Dati di Supporto'!$P$6)</f>
        <v>Fascia 1 (inferiore a 400 €)</v>
      </c>
      <c r="M445" t="str">
        <f>_xlfn.IFS(G445='Dati di Supporto'!$O$10,'Dati di Supporto'!$P$10,Vendite!G445='Dati di Supporto'!$O$11,'Dati di Supporto'!$P$11,Vendite!G445='Dati di Supporto'!$O$12,'Dati di Supporto'!$P$12,Vendite!G445='Dati di Supporto'!$O$13,'Dati di Supporto'!$P$13,Vendite!G445='Dati di Supporto'!$O$14,'Dati di Supporto'!$P$14)</f>
        <v>Bollettino postale</v>
      </c>
    </row>
    <row r="446" spans="1:13" x14ac:dyDescent="0.3">
      <c r="A446" s="11">
        <v>445</v>
      </c>
      <c r="B446" s="6">
        <v>41770</v>
      </c>
      <c r="C446" s="1" t="s">
        <v>3</v>
      </c>
      <c r="D446" s="2" t="s">
        <v>111</v>
      </c>
      <c r="E446" s="2" t="s">
        <v>251</v>
      </c>
      <c r="F446" s="3">
        <v>1951</v>
      </c>
      <c r="G446" s="15">
        <v>3</v>
      </c>
      <c r="H446" t="str">
        <f>VLOOKUP(D446,'Dati di Supporto'!$B$2:$C$104,2,FALSE)</f>
        <v>Lazio</v>
      </c>
      <c r="I446" t="str">
        <f>VLOOKUP(D446,'Dati di Supporto'!$B$2:$D$104,3,FALSE)</f>
        <v>RM</v>
      </c>
      <c r="J446" t="str">
        <f>VLOOKUP(H446,'Dati di Supporto'!$G$2:$H$21,2,FALSE)</f>
        <v>CENTRO</v>
      </c>
      <c r="K446">
        <f t="shared" si="6"/>
        <v>87</v>
      </c>
      <c r="L446" t="str">
        <f>_xlfn.IFS(Vendite!F446&lt;'Dati di Supporto'!$O$3,'Dati di Supporto'!$P$2,Vendite!F446&lt;'Dati di Supporto'!$O$4,'Dati di Supporto'!$P$3,Vendite!F446&lt;'Dati di Supporto'!$O$5,'Dati di Supporto'!$P$4,Vendite!F446&lt;'Dati di Supporto'!$O$6,'Dati di Supporto'!$P$5,Vendite!F446&gt;'Dati di Supporto'!$O$6,'Dati di Supporto'!$P$6)</f>
        <v>Fascia 5 (da 1500 € e oltre)</v>
      </c>
      <c r="M446" t="str">
        <f>_xlfn.IFS(G446='Dati di Supporto'!$O$10,'Dati di Supporto'!$P$10,Vendite!G446='Dati di Supporto'!$O$11,'Dati di Supporto'!$P$11,Vendite!G446='Dati di Supporto'!$O$12,'Dati di Supporto'!$P$12,Vendite!G446='Dati di Supporto'!$O$13,'Dati di Supporto'!$P$13,Vendite!G446='Dati di Supporto'!$O$14,'Dati di Supporto'!$P$14)</f>
        <v>Carta di credito</v>
      </c>
    </row>
    <row r="447" spans="1:13" x14ac:dyDescent="0.3">
      <c r="A447" s="11">
        <v>446</v>
      </c>
      <c r="B447" s="6">
        <v>41689</v>
      </c>
      <c r="C447" s="1" t="s">
        <v>247</v>
      </c>
      <c r="D447" s="2" t="s">
        <v>103</v>
      </c>
      <c r="E447" s="2" t="s">
        <v>251</v>
      </c>
      <c r="F447" s="3">
        <v>756</v>
      </c>
      <c r="G447" s="15">
        <v>2</v>
      </c>
      <c r="H447" t="str">
        <f>VLOOKUP(D447,'Dati di Supporto'!$B$2:$C$104,2,FALSE)</f>
        <v>Toscana</v>
      </c>
      <c r="I447" t="str">
        <f>VLOOKUP(D447,'Dati di Supporto'!$B$2:$D$104,3,FALSE)</f>
        <v>PT</v>
      </c>
      <c r="J447" t="str">
        <f>VLOOKUP(H447,'Dati di Supporto'!$G$2:$H$21,2,FALSE)</f>
        <v>CENTRO</v>
      </c>
      <c r="K447">
        <f t="shared" si="6"/>
        <v>83</v>
      </c>
      <c r="L447" t="str">
        <f>_xlfn.IFS(Vendite!F447&lt;'Dati di Supporto'!$O$3,'Dati di Supporto'!$P$2,Vendite!F447&lt;'Dati di Supporto'!$O$4,'Dati di Supporto'!$P$3,Vendite!F447&lt;'Dati di Supporto'!$O$5,'Dati di Supporto'!$P$4,Vendite!F447&lt;'Dati di Supporto'!$O$6,'Dati di Supporto'!$P$5,Vendite!F447&gt;'Dati di Supporto'!$O$6,'Dati di Supporto'!$P$6)</f>
        <v>Fascia 2 (da 400 €  a meno di 800 €)</v>
      </c>
      <c r="M447" t="str">
        <f>_xlfn.IFS(G447='Dati di Supporto'!$O$10,'Dati di Supporto'!$P$10,Vendite!G447='Dati di Supporto'!$O$11,'Dati di Supporto'!$P$11,Vendite!G447='Dati di Supporto'!$O$12,'Dati di Supporto'!$P$12,Vendite!G447='Dati di Supporto'!$O$13,'Dati di Supporto'!$P$13,Vendite!G447='Dati di Supporto'!$O$14,'Dati di Supporto'!$P$14)</f>
        <v>Bonifico Bancario</v>
      </c>
    </row>
    <row r="448" spans="1:13" x14ac:dyDescent="0.3">
      <c r="A448" s="11">
        <v>447</v>
      </c>
      <c r="B448" s="6">
        <v>41797</v>
      </c>
      <c r="C448" s="1" t="s">
        <v>1</v>
      </c>
      <c r="D448" s="2" t="s">
        <v>133</v>
      </c>
      <c r="E448" s="2" t="s">
        <v>10</v>
      </c>
      <c r="F448" s="3">
        <v>178</v>
      </c>
      <c r="G448" s="15">
        <v>5</v>
      </c>
      <c r="H448" t="str">
        <f>VLOOKUP(D448,'Dati di Supporto'!$B$2:$C$104,2,FALSE)</f>
        <v>Calabria</v>
      </c>
      <c r="I448" t="str">
        <f>VLOOKUP(D448,'Dati di Supporto'!$B$2:$D$104,3,FALSE)</f>
        <v>VV</v>
      </c>
      <c r="J448" t="str">
        <f>VLOOKUP(H448,'Dati di Supporto'!$G$2:$H$21,2,FALSE)</f>
        <v>SUD</v>
      </c>
      <c r="K448">
        <f t="shared" si="6"/>
        <v>96</v>
      </c>
      <c r="L448" t="str">
        <f>_xlfn.IFS(Vendite!F448&lt;'Dati di Supporto'!$O$3,'Dati di Supporto'!$P$2,Vendite!F448&lt;'Dati di Supporto'!$O$4,'Dati di Supporto'!$P$3,Vendite!F448&lt;'Dati di Supporto'!$O$5,'Dati di Supporto'!$P$4,Vendite!F448&lt;'Dati di Supporto'!$O$6,'Dati di Supporto'!$P$5,Vendite!F448&gt;'Dati di Supporto'!$O$6,'Dati di Supporto'!$P$6)</f>
        <v>Fascia 1 (inferiore a 400 €)</v>
      </c>
      <c r="M448" t="str">
        <f>_xlfn.IFS(G448='Dati di Supporto'!$O$10,'Dati di Supporto'!$P$10,Vendite!G448='Dati di Supporto'!$O$11,'Dati di Supporto'!$P$11,Vendite!G448='Dati di Supporto'!$O$12,'Dati di Supporto'!$P$12,Vendite!G448='Dati di Supporto'!$O$13,'Dati di Supporto'!$P$13,Vendite!G448='Dati di Supporto'!$O$14,'Dati di Supporto'!$P$14)</f>
        <v>Assegno Bancario</v>
      </c>
    </row>
    <row r="449" spans="1:13" x14ac:dyDescent="0.3">
      <c r="A449" s="11">
        <v>448</v>
      </c>
      <c r="B449" s="6">
        <v>41728</v>
      </c>
      <c r="C449" s="1" t="s">
        <v>3</v>
      </c>
      <c r="D449" s="2" t="s">
        <v>123</v>
      </c>
      <c r="E449" s="2" t="s">
        <v>251</v>
      </c>
      <c r="F449" s="3">
        <v>912</v>
      </c>
      <c r="G449" s="15">
        <v>4</v>
      </c>
      <c r="H449" t="str">
        <f>VLOOKUP(D449,'Dati di Supporto'!$B$2:$C$104,2,FALSE)</f>
        <v>Sicilia</v>
      </c>
      <c r="I449" t="str">
        <f>VLOOKUP(D449,'Dati di Supporto'!$B$2:$D$104,3,FALSE)</f>
        <v>TP</v>
      </c>
      <c r="J449" t="str">
        <f>VLOOKUP(H449,'Dati di Supporto'!$G$2:$H$21,2,FALSE)</f>
        <v>ISOLE</v>
      </c>
      <c r="K449">
        <f t="shared" si="6"/>
        <v>87</v>
      </c>
      <c r="L449" t="str">
        <f>_xlfn.IFS(Vendite!F449&lt;'Dati di Supporto'!$O$3,'Dati di Supporto'!$P$2,Vendite!F449&lt;'Dati di Supporto'!$O$4,'Dati di Supporto'!$P$3,Vendite!F449&lt;'Dati di Supporto'!$O$5,'Dati di Supporto'!$P$4,Vendite!F449&lt;'Dati di Supporto'!$O$6,'Dati di Supporto'!$P$5,Vendite!F449&gt;'Dati di Supporto'!$O$6,'Dati di Supporto'!$P$6)</f>
        <v>Fascia 3 (da 800 €  a meno di 1200 €)</v>
      </c>
      <c r="M449" t="str">
        <f>_xlfn.IFS(G449='Dati di Supporto'!$O$10,'Dati di Supporto'!$P$10,Vendite!G449='Dati di Supporto'!$O$11,'Dati di Supporto'!$P$11,Vendite!G449='Dati di Supporto'!$O$12,'Dati di Supporto'!$P$12,Vendite!G449='Dati di Supporto'!$O$13,'Dati di Supporto'!$P$13,Vendite!G449='Dati di Supporto'!$O$14,'Dati di Supporto'!$P$14)</f>
        <v>Bollettino postale</v>
      </c>
    </row>
    <row r="450" spans="1:13" x14ac:dyDescent="0.3">
      <c r="A450" s="11">
        <v>449</v>
      </c>
      <c r="B450" s="6">
        <v>41761</v>
      </c>
      <c r="C450" s="1" t="s">
        <v>247</v>
      </c>
      <c r="D450" s="2" t="s">
        <v>115</v>
      </c>
      <c r="E450" s="2" t="s">
        <v>251</v>
      </c>
      <c r="F450" s="3">
        <v>216</v>
      </c>
      <c r="G450" s="15">
        <v>1</v>
      </c>
      <c r="H450" t="str">
        <f>VLOOKUP(D450,'Dati di Supporto'!$B$2:$C$104,2,FALSE)</f>
        <v>Liguria</v>
      </c>
      <c r="I450" t="str">
        <f>VLOOKUP(D450,'Dati di Supporto'!$B$2:$D$104,3,FALSE)</f>
        <v>SV</v>
      </c>
      <c r="J450" t="str">
        <f>VLOOKUP(H450,'Dati di Supporto'!$G$2:$H$21,2,FALSE)</f>
        <v>NORD</v>
      </c>
      <c r="K450">
        <f t="shared" si="6"/>
        <v>83</v>
      </c>
      <c r="L450" t="str">
        <f>_xlfn.IFS(Vendite!F450&lt;'Dati di Supporto'!$O$3,'Dati di Supporto'!$P$2,Vendite!F450&lt;'Dati di Supporto'!$O$4,'Dati di Supporto'!$P$3,Vendite!F450&lt;'Dati di Supporto'!$O$5,'Dati di Supporto'!$P$4,Vendite!F450&lt;'Dati di Supporto'!$O$6,'Dati di Supporto'!$P$5,Vendite!F450&gt;'Dati di Supporto'!$O$6,'Dati di Supporto'!$P$6)</f>
        <v>Fascia 1 (inferiore a 400 €)</v>
      </c>
      <c r="M450" t="str">
        <f>_xlfn.IFS(G450='Dati di Supporto'!$O$10,'Dati di Supporto'!$P$10,Vendite!G450='Dati di Supporto'!$O$11,'Dati di Supporto'!$P$11,Vendite!G450='Dati di Supporto'!$O$12,'Dati di Supporto'!$P$12,Vendite!G450='Dati di Supporto'!$O$13,'Dati di Supporto'!$P$13,Vendite!G450='Dati di Supporto'!$O$14,'Dati di Supporto'!$P$14)</f>
        <v>Contanti</v>
      </c>
    </row>
    <row r="451" spans="1:13" x14ac:dyDescent="0.3">
      <c r="A451" s="11">
        <v>450</v>
      </c>
      <c r="B451" s="6">
        <v>41684</v>
      </c>
      <c r="C451" s="1" t="s">
        <v>247</v>
      </c>
      <c r="D451" s="2" t="s">
        <v>129</v>
      </c>
      <c r="E451" s="2" t="s">
        <v>10</v>
      </c>
      <c r="F451" s="3">
        <v>647</v>
      </c>
      <c r="G451" s="15">
        <v>2</v>
      </c>
      <c r="H451" t="str">
        <f>VLOOKUP(D451,'Dati di Supporto'!$B$2:$C$104,2,FALSE)</f>
        <v>Veneto</v>
      </c>
      <c r="I451" t="str">
        <f>VLOOKUP(D451,'Dati di Supporto'!$B$2:$D$104,3,FALSE)</f>
        <v>VE</v>
      </c>
      <c r="J451" t="str">
        <f>VLOOKUP(H451,'Dati di Supporto'!$G$2:$H$21,2,FALSE)</f>
        <v>NORD</v>
      </c>
      <c r="K451">
        <f t="shared" ref="K451:K501" si="7">COUNTIF($C$2:$C$501,C451)</f>
        <v>83</v>
      </c>
      <c r="L451" t="str">
        <f>_xlfn.IFS(Vendite!F451&lt;'Dati di Supporto'!$O$3,'Dati di Supporto'!$P$2,Vendite!F451&lt;'Dati di Supporto'!$O$4,'Dati di Supporto'!$P$3,Vendite!F451&lt;'Dati di Supporto'!$O$5,'Dati di Supporto'!$P$4,Vendite!F451&lt;'Dati di Supporto'!$O$6,'Dati di Supporto'!$P$5,Vendite!F451&gt;'Dati di Supporto'!$O$6,'Dati di Supporto'!$P$6)</f>
        <v>Fascia 2 (da 400 €  a meno di 800 €)</v>
      </c>
      <c r="M451" t="str">
        <f>_xlfn.IFS(G451='Dati di Supporto'!$O$10,'Dati di Supporto'!$P$10,Vendite!G451='Dati di Supporto'!$O$11,'Dati di Supporto'!$P$11,Vendite!G451='Dati di Supporto'!$O$12,'Dati di Supporto'!$P$12,Vendite!G451='Dati di Supporto'!$O$13,'Dati di Supporto'!$P$13,Vendite!G451='Dati di Supporto'!$O$14,'Dati di Supporto'!$P$14)</f>
        <v>Bonifico Bancario</v>
      </c>
    </row>
    <row r="452" spans="1:13" x14ac:dyDescent="0.3">
      <c r="A452" s="11">
        <v>451</v>
      </c>
      <c r="B452" s="6">
        <v>41742</v>
      </c>
      <c r="C452" s="1" t="s">
        <v>3</v>
      </c>
      <c r="D452" s="2" t="s">
        <v>123</v>
      </c>
      <c r="E452" s="2" t="s">
        <v>10</v>
      </c>
      <c r="F452" s="3">
        <v>1101</v>
      </c>
      <c r="G452" s="15">
        <v>2</v>
      </c>
      <c r="H452" t="str">
        <f>VLOOKUP(D452,'Dati di Supporto'!$B$2:$C$104,2,FALSE)</f>
        <v>Sicilia</v>
      </c>
      <c r="I452" t="str">
        <f>VLOOKUP(D452,'Dati di Supporto'!$B$2:$D$104,3,FALSE)</f>
        <v>TP</v>
      </c>
      <c r="J452" t="str">
        <f>VLOOKUP(H452,'Dati di Supporto'!$G$2:$H$21,2,FALSE)</f>
        <v>ISOLE</v>
      </c>
      <c r="K452">
        <f t="shared" si="7"/>
        <v>87</v>
      </c>
      <c r="L452" t="str">
        <f>_xlfn.IFS(Vendite!F452&lt;'Dati di Supporto'!$O$3,'Dati di Supporto'!$P$2,Vendite!F452&lt;'Dati di Supporto'!$O$4,'Dati di Supporto'!$P$3,Vendite!F452&lt;'Dati di Supporto'!$O$5,'Dati di Supporto'!$P$4,Vendite!F452&lt;'Dati di Supporto'!$O$6,'Dati di Supporto'!$P$5,Vendite!F452&gt;'Dati di Supporto'!$O$6,'Dati di Supporto'!$P$6)</f>
        <v>Fascia 3 (da 800 €  a meno di 1200 €)</v>
      </c>
      <c r="M452" t="str">
        <f>_xlfn.IFS(G452='Dati di Supporto'!$O$10,'Dati di Supporto'!$P$10,Vendite!G452='Dati di Supporto'!$O$11,'Dati di Supporto'!$P$11,Vendite!G452='Dati di Supporto'!$O$12,'Dati di Supporto'!$P$12,Vendite!G452='Dati di Supporto'!$O$13,'Dati di Supporto'!$P$13,Vendite!G452='Dati di Supporto'!$O$14,'Dati di Supporto'!$P$14)</f>
        <v>Bonifico Bancario</v>
      </c>
    </row>
    <row r="453" spans="1:13" x14ac:dyDescent="0.3">
      <c r="A453" s="11">
        <v>452</v>
      </c>
      <c r="B453" s="6">
        <v>41688</v>
      </c>
      <c r="C453" s="1" t="s">
        <v>3</v>
      </c>
      <c r="D453" s="2" t="s">
        <v>98</v>
      </c>
      <c r="E453" s="2" t="s">
        <v>252</v>
      </c>
      <c r="F453" s="3">
        <v>426</v>
      </c>
      <c r="G453" s="15">
        <v>2</v>
      </c>
      <c r="H453" t="str">
        <f>VLOOKUP(D453,'Dati di Supporto'!$B$2:$C$104,2,FALSE)</f>
        <v>Umbria</v>
      </c>
      <c r="I453" t="str">
        <f>VLOOKUP(D453,'Dati di Supporto'!$B$2:$D$104,3,FALSE)</f>
        <v>PG</v>
      </c>
      <c r="J453" t="str">
        <f>VLOOKUP(H453,'Dati di Supporto'!$G$2:$H$21,2,FALSE)</f>
        <v>CENTRO</v>
      </c>
      <c r="K453">
        <f t="shared" si="7"/>
        <v>87</v>
      </c>
      <c r="L453" t="str">
        <f>_xlfn.IFS(Vendite!F453&lt;'Dati di Supporto'!$O$3,'Dati di Supporto'!$P$2,Vendite!F453&lt;'Dati di Supporto'!$O$4,'Dati di Supporto'!$P$3,Vendite!F453&lt;'Dati di Supporto'!$O$5,'Dati di Supporto'!$P$4,Vendite!F453&lt;'Dati di Supporto'!$O$6,'Dati di Supporto'!$P$5,Vendite!F453&gt;'Dati di Supporto'!$O$6,'Dati di Supporto'!$P$6)</f>
        <v>Fascia 2 (da 400 €  a meno di 800 €)</v>
      </c>
      <c r="M453" t="str">
        <f>_xlfn.IFS(G453='Dati di Supporto'!$O$10,'Dati di Supporto'!$P$10,Vendite!G453='Dati di Supporto'!$O$11,'Dati di Supporto'!$P$11,Vendite!G453='Dati di Supporto'!$O$12,'Dati di Supporto'!$P$12,Vendite!G453='Dati di Supporto'!$O$13,'Dati di Supporto'!$P$13,Vendite!G453='Dati di Supporto'!$O$14,'Dati di Supporto'!$P$14)</f>
        <v>Bonifico Bancario</v>
      </c>
    </row>
    <row r="454" spans="1:13" x14ac:dyDescent="0.3">
      <c r="A454" s="11">
        <v>453</v>
      </c>
      <c r="B454" s="6">
        <v>41704</v>
      </c>
      <c r="C454" s="1" t="s">
        <v>8</v>
      </c>
      <c r="D454" s="2" t="s">
        <v>123</v>
      </c>
      <c r="E454" s="2" t="s">
        <v>10</v>
      </c>
      <c r="F454" s="3">
        <v>1476</v>
      </c>
      <c r="G454" s="15">
        <v>1</v>
      </c>
      <c r="H454" t="str">
        <f>VLOOKUP(D454,'Dati di Supporto'!$B$2:$C$104,2,FALSE)</f>
        <v>Sicilia</v>
      </c>
      <c r="I454" t="str">
        <f>VLOOKUP(D454,'Dati di Supporto'!$B$2:$D$104,3,FALSE)</f>
        <v>TP</v>
      </c>
      <c r="J454" t="str">
        <f>VLOOKUP(H454,'Dati di Supporto'!$G$2:$H$21,2,FALSE)</f>
        <v>ISOLE</v>
      </c>
      <c r="K454">
        <f t="shared" si="7"/>
        <v>70</v>
      </c>
      <c r="L454" t="str">
        <f>_xlfn.IFS(Vendite!F454&lt;'Dati di Supporto'!$O$3,'Dati di Supporto'!$P$2,Vendite!F454&lt;'Dati di Supporto'!$O$4,'Dati di Supporto'!$P$3,Vendite!F454&lt;'Dati di Supporto'!$O$5,'Dati di Supporto'!$P$4,Vendite!F454&lt;'Dati di Supporto'!$O$6,'Dati di Supporto'!$P$5,Vendite!F454&gt;'Dati di Supporto'!$O$6,'Dati di Supporto'!$P$6)</f>
        <v>Fascia 4 (da 1200 €  a meno di 1500 €)</v>
      </c>
      <c r="M454" t="str">
        <f>_xlfn.IFS(G454='Dati di Supporto'!$O$10,'Dati di Supporto'!$P$10,Vendite!G454='Dati di Supporto'!$O$11,'Dati di Supporto'!$P$11,Vendite!G454='Dati di Supporto'!$O$12,'Dati di Supporto'!$P$12,Vendite!G454='Dati di Supporto'!$O$13,'Dati di Supporto'!$P$13,Vendite!G454='Dati di Supporto'!$O$14,'Dati di Supporto'!$P$14)</f>
        <v>Contanti</v>
      </c>
    </row>
    <row r="455" spans="1:13" x14ac:dyDescent="0.3">
      <c r="A455" s="11">
        <v>454</v>
      </c>
      <c r="B455" s="6">
        <v>41715</v>
      </c>
      <c r="C455" s="1" t="s">
        <v>1</v>
      </c>
      <c r="D455" s="2" t="s">
        <v>109</v>
      </c>
      <c r="E455" s="2" t="s">
        <v>10</v>
      </c>
      <c r="F455" s="3">
        <v>1417</v>
      </c>
      <c r="G455" s="15">
        <v>2</v>
      </c>
      <c r="H455" t="str">
        <f>VLOOKUP(D455,'Dati di Supporto'!$B$2:$C$104,2,FALSE)</f>
        <v>Lazio</v>
      </c>
      <c r="I455" t="str">
        <f>VLOOKUP(D455,'Dati di Supporto'!$B$2:$D$104,3,FALSE)</f>
        <v>RI</v>
      </c>
      <c r="J455" t="str">
        <f>VLOOKUP(H455,'Dati di Supporto'!$G$2:$H$21,2,FALSE)</f>
        <v>CENTRO</v>
      </c>
      <c r="K455">
        <f t="shared" si="7"/>
        <v>96</v>
      </c>
      <c r="L455" t="str">
        <f>_xlfn.IFS(Vendite!F455&lt;'Dati di Supporto'!$O$3,'Dati di Supporto'!$P$2,Vendite!F455&lt;'Dati di Supporto'!$O$4,'Dati di Supporto'!$P$3,Vendite!F455&lt;'Dati di Supporto'!$O$5,'Dati di Supporto'!$P$4,Vendite!F455&lt;'Dati di Supporto'!$O$6,'Dati di Supporto'!$P$5,Vendite!F455&gt;'Dati di Supporto'!$O$6,'Dati di Supporto'!$P$6)</f>
        <v>Fascia 4 (da 1200 €  a meno di 1500 €)</v>
      </c>
      <c r="M455" t="str">
        <f>_xlfn.IFS(G455='Dati di Supporto'!$O$10,'Dati di Supporto'!$P$10,Vendite!G455='Dati di Supporto'!$O$11,'Dati di Supporto'!$P$11,Vendite!G455='Dati di Supporto'!$O$12,'Dati di Supporto'!$P$12,Vendite!G455='Dati di Supporto'!$O$13,'Dati di Supporto'!$P$13,Vendite!G455='Dati di Supporto'!$O$14,'Dati di Supporto'!$P$14)</f>
        <v>Bonifico Bancario</v>
      </c>
    </row>
    <row r="456" spans="1:13" x14ac:dyDescent="0.3">
      <c r="A456" s="11">
        <v>455</v>
      </c>
      <c r="B456" s="6">
        <v>41799</v>
      </c>
      <c r="C456" s="1" t="s">
        <v>247</v>
      </c>
      <c r="D456" s="2" t="s">
        <v>113</v>
      </c>
      <c r="E456" s="2" t="s">
        <v>252</v>
      </c>
      <c r="F456" s="3">
        <v>1715</v>
      </c>
      <c r="G456" s="15">
        <v>2</v>
      </c>
      <c r="H456" t="str">
        <f>VLOOKUP(D456,'Dati di Supporto'!$B$2:$C$104,2,FALSE)</f>
        <v>Campania</v>
      </c>
      <c r="I456" t="str">
        <f>VLOOKUP(D456,'Dati di Supporto'!$B$2:$D$104,3,FALSE)</f>
        <v>SA</v>
      </c>
      <c r="J456" t="str">
        <f>VLOOKUP(H456,'Dati di Supporto'!$G$2:$H$21,2,FALSE)</f>
        <v>SUD</v>
      </c>
      <c r="K456">
        <f t="shared" si="7"/>
        <v>83</v>
      </c>
      <c r="L456" t="str">
        <f>_xlfn.IFS(Vendite!F456&lt;'Dati di Supporto'!$O$3,'Dati di Supporto'!$P$2,Vendite!F456&lt;'Dati di Supporto'!$O$4,'Dati di Supporto'!$P$3,Vendite!F456&lt;'Dati di Supporto'!$O$5,'Dati di Supporto'!$P$4,Vendite!F456&lt;'Dati di Supporto'!$O$6,'Dati di Supporto'!$P$5,Vendite!F456&gt;'Dati di Supporto'!$O$6,'Dati di Supporto'!$P$6)</f>
        <v>Fascia 5 (da 1500 € e oltre)</v>
      </c>
      <c r="M456" t="str">
        <f>_xlfn.IFS(G456='Dati di Supporto'!$O$10,'Dati di Supporto'!$P$10,Vendite!G456='Dati di Supporto'!$O$11,'Dati di Supporto'!$P$11,Vendite!G456='Dati di Supporto'!$O$12,'Dati di Supporto'!$P$12,Vendite!G456='Dati di Supporto'!$O$13,'Dati di Supporto'!$P$13,Vendite!G456='Dati di Supporto'!$O$14,'Dati di Supporto'!$P$14)</f>
        <v>Bonifico Bancario</v>
      </c>
    </row>
    <row r="457" spans="1:13" x14ac:dyDescent="0.3">
      <c r="A457" s="11">
        <v>456</v>
      </c>
      <c r="B457" s="6">
        <v>41785</v>
      </c>
      <c r="C457" s="1" t="s">
        <v>3</v>
      </c>
      <c r="D457" s="2" t="s">
        <v>116</v>
      </c>
      <c r="E457" s="2" t="s">
        <v>10</v>
      </c>
      <c r="F457" s="3">
        <v>1289</v>
      </c>
      <c r="G457" s="15">
        <v>4</v>
      </c>
      <c r="H457" t="str">
        <f>VLOOKUP(D457,'Dati di Supporto'!$B$2:$C$104,2,FALSE)</f>
        <v>Toscana</v>
      </c>
      <c r="I457" t="str">
        <f>VLOOKUP(D457,'Dati di Supporto'!$B$2:$D$104,3,FALSE)</f>
        <v>SI</v>
      </c>
      <c r="J457" t="str">
        <f>VLOOKUP(H457,'Dati di Supporto'!$G$2:$H$21,2,FALSE)</f>
        <v>CENTRO</v>
      </c>
      <c r="K457">
        <f t="shared" si="7"/>
        <v>87</v>
      </c>
      <c r="L457" t="str">
        <f>_xlfn.IFS(Vendite!F457&lt;'Dati di Supporto'!$O$3,'Dati di Supporto'!$P$2,Vendite!F457&lt;'Dati di Supporto'!$O$4,'Dati di Supporto'!$P$3,Vendite!F457&lt;'Dati di Supporto'!$O$5,'Dati di Supporto'!$P$4,Vendite!F457&lt;'Dati di Supporto'!$O$6,'Dati di Supporto'!$P$5,Vendite!F457&gt;'Dati di Supporto'!$O$6,'Dati di Supporto'!$P$6)</f>
        <v>Fascia 4 (da 1200 €  a meno di 1500 €)</v>
      </c>
      <c r="M457" t="str">
        <f>_xlfn.IFS(G457='Dati di Supporto'!$O$10,'Dati di Supporto'!$P$10,Vendite!G457='Dati di Supporto'!$O$11,'Dati di Supporto'!$P$11,Vendite!G457='Dati di Supporto'!$O$12,'Dati di Supporto'!$P$12,Vendite!G457='Dati di Supporto'!$O$13,'Dati di Supporto'!$P$13,Vendite!G457='Dati di Supporto'!$O$14,'Dati di Supporto'!$P$14)</f>
        <v>Bollettino postale</v>
      </c>
    </row>
    <row r="458" spans="1:13" x14ac:dyDescent="0.3">
      <c r="A458" s="11">
        <v>457</v>
      </c>
      <c r="B458" s="6">
        <v>41704</v>
      </c>
      <c r="C458" s="1" t="s">
        <v>248</v>
      </c>
      <c r="D458" s="2" t="s">
        <v>99</v>
      </c>
      <c r="E458" s="2" t="s">
        <v>251</v>
      </c>
      <c r="F458" s="3">
        <v>1427</v>
      </c>
      <c r="G458" s="15">
        <v>5</v>
      </c>
      <c r="H458" t="str">
        <f>VLOOKUP(D458,'Dati di Supporto'!$B$2:$C$104,2,FALSE)</f>
        <v>Marche</v>
      </c>
      <c r="I458" t="str">
        <f>VLOOKUP(D458,'Dati di Supporto'!$B$2:$D$104,3,FALSE)</f>
        <v>PS</v>
      </c>
      <c r="J458" t="str">
        <f>VLOOKUP(H458,'Dati di Supporto'!$G$2:$H$21,2,FALSE)</f>
        <v>CENTRO</v>
      </c>
      <c r="K458">
        <f t="shared" si="7"/>
        <v>80</v>
      </c>
      <c r="L458" t="str">
        <f>_xlfn.IFS(Vendite!F458&lt;'Dati di Supporto'!$O$3,'Dati di Supporto'!$P$2,Vendite!F458&lt;'Dati di Supporto'!$O$4,'Dati di Supporto'!$P$3,Vendite!F458&lt;'Dati di Supporto'!$O$5,'Dati di Supporto'!$P$4,Vendite!F458&lt;'Dati di Supporto'!$O$6,'Dati di Supporto'!$P$5,Vendite!F458&gt;'Dati di Supporto'!$O$6,'Dati di Supporto'!$P$6)</f>
        <v>Fascia 4 (da 1200 €  a meno di 1500 €)</v>
      </c>
      <c r="M458" t="str">
        <f>_xlfn.IFS(G458='Dati di Supporto'!$O$10,'Dati di Supporto'!$P$10,Vendite!G458='Dati di Supporto'!$O$11,'Dati di Supporto'!$P$11,Vendite!G458='Dati di Supporto'!$O$12,'Dati di Supporto'!$P$12,Vendite!G458='Dati di Supporto'!$O$13,'Dati di Supporto'!$P$13,Vendite!G458='Dati di Supporto'!$O$14,'Dati di Supporto'!$P$14)</f>
        <v>Assegno Bancario</v>
      </c>
    </row>
    <row r="459" spans="1:13" x14ac:dyDescent="0.3">
      <c r="A459" s="11">
        <v>458</v>
      </c>
      <c r="B459" s="6">
        <v>41678</v>
      </c>
      <c r="C459" s="1" t="s">
        <v>248</v>
      </c>
      <c r="D459" s="2" t="s">
        <v>118</v>
      </c>
      <c r="E459" s="2" t="s">
        <v>11</v>
      </c>
      <c r="F459" s="3">
        <v>445</v>
      </c>
      <c r="G459" s="15">
        <v>5</v>
      </c>
      <c r="H459" t="str">
        <f>VLOOKUP(D459,'Dati di Supporto'!$B$2:$C$104,2,FALSE)</f>
        <v>Lombardia</v>
      </c>
      <c r="I459" t="str">
        <f>VLOOKUP(D459,'Dati di Supporto'!$B$2:$D$104,3,FALSE)</f>
        <v>SO</v>
      </c>
      <c r="J459" t="str">
        <f>VLOOKUP(H459,'Dati di Supporto'!$G$2:$H$21,2,FALSE)</f>
        <v>NORD</v>
      </c>
      <c r="K459">
        <f t="shared" si="7"/>
        <v>80</v>
      </c>
      <c r="L459" t="str">
        <f>_xlfn.IFS(Vendite!F459&lt;'Dati di Supporto'!$O$3,'Dati di Supporto'!$P$2,Vendite!F459&lt;'Dati di Supporto'!$O$4,'Dati di Supporto'!$P$3,Vendite!F459&lt;'Dati di Supporto'!$O$5,'Dati di Supporto'!$P$4,Vendite!F459&lt;'Dati di Supporto'!$O$6,'Dati di Supporto'!$P$5,Vendite!F459&gt;'Dati di Supporto'!$O$6,'Dati di Supporto'!$P$6)</f>
        <v>Fascia 2 (da 400 €  a meno di 800 €)</v>
      </c>
      <c r="M459" t="str">
        <f>_xlfn.IFS(G459='Dati di Supporto'!$O$10,'Dati di Supporto'!$P$10,Vendite!G459='Dati di Supporto'!$O$11,'Dati di Supporto'!$P$11,Vendite!G459='Dati di Supporto'!$O$12,'Dati di Supporto'!$P$12,Vendite!G459='Dati di Supporto'!$O$13,'Dati di Supporto'!$P$13,Vendite!G459='Dati di Supporto'!$O$14,'Dati di Supporto'!$P$14)</f>
        <v>Assegno Bancario</v>
      </c>
    </row>
    <row r="460" spans="1:13" x14ac:dyDescent="0.3">
      <c r="A460" s="11">
        <v>459</v>
      </c>
      <c r="B460" s="6">
        <v>41776</v>
      </c>
      <c r="C460" s="1" t="s">
        <v>1</v>
      </c>
      <c r="D460" s="2" t="s">
        <v>110</v>
      </c>
      <c r="E460" s="2" t="s">
        <v>252</v>
      </c>
      <c r="F460" s="3">
        <v>1390</v>
      </c>
      <c r="G460" s="15">
        <v>4</v>
      </c>
      <c r="H460" t="str">
        <f>VLOOKUP(D460,'Dati di Supporto'!$B$2:$C$104,2,FALSE)</f>
        <v>Emilia-Romagna</v>
      </c>
      <c r="I460" t="str">
        <f>VLOOKUP(D460,'Dati di Supporto'!$B$2:$D$104,3,FALSE)</f>
        <v>RN</v>
      </c>
      <c r="J460" t="str">
        <f>VLOOKUP(H460,'Dati di Supporto'!$G$2:$H$21,2,FALSE)</f>
        <v>NORD</v>
      </c>
      <c r="K460">
        <f t="shared" si="7"/>
        <v>96</v>
      </c>
      <c r="L460" t="str">
        <f>_xlfn.IFS(Vendite!F460&lt;'Dati di Supporto'!$O$3,'Dati di Supporto'!$P$2,Vendite!F460&lt;'Dati di Supporto'!$O$4,'Dati di Supporto'!$P$3,Vendite!F460&lt;'Dati di Supporto'!$O$5,'Dati di Supporto'!$P$4,Vendite!F460&lt;'Dati di Supporto'!$O$6,'Dati di Supporto'!$P$5,Vendite!F460&gt;'Dati di Supporto'!$O$6,'Dati di Supporto'!$P$6)</f>
        <v>Fascia 4 (da 1200 €  a meno di 1500 €)</v>
      </c>
      <c r="M460" t="str">
        <f>_xlfn.IFS(G460='Dati di Supporto'!$O$10,'Dati di Supporto'!$P$10,Vendite!G460='Dati di Supporto'!$O$11,'Dati di Supporto'!$P$11,Vendite!G460='Dati di Supporto'!$O$12,'Dati di Supporto'!$P$12,Vendite!G460='Dati di Supporto'!$O$13,'Dati di Supporto'!$P$13,Vendite!G460='Dati di Supporto'!$O$14,'Dati di Supporto'!$P$14)</f>
        <v>Bollettino postale</v>
      </c>
    </row>
    <row r="461" spans="1:13" x14ac:dyDescent="0.3">
      <c r="A461" s="11">
        <v>460</v>
      </c>
      <c r="B461" s="6">
        <v>41793</v>
      </c>
      <c r="C461" s="1" t="s">
        <v>2</v>
      </c>
      <c r="D461" s="2" t="s">
        <v>105</v>
      </c>
      <c r="E461" s="2" t="s">
        <v>10</v>
      </c>
      <c r="F461" s="3">
        <v>1897</v>
      </c>
      <c r="G461" s="15">
        <v>3</v>
      </c>
      <c r="H461" t="str">
        <f>VLOOKUP(D461,'Dati di Supporto'!$B$2:$C$104,2,FALSE)</f>
        <v>Basilicata</v>
      </c>
      <c r="I461" t="str">
        <f>VLOOKUP(D461,'Dati di Supporto'!$B$2:$D$104,3,FALSE)</f>
        <v>PZ</v>
      </c>
      <c r="J461" t="str">
        <f>VLOOKUP(H461,'Dati di Supporto'!$G$2:$H$21,2,FALSE)</f>
        <v>SUD</v>
      </c>
      <c r="K461">
        <f t="shared" si="7"/>
        <v>84</v>
      </c>
      <c r="L461" t="str">
        <f>_xlfn.IFS(Vendite!F461&lt;'Dati di Supporto'!$O$3,'Dati di Supporto'!$P$2,Vendite!F461&lt;'Dati di Supporto'!$O$4,'Dati di Supporto'!$P$3,Vendite!F461&lt;'Dati di Supporto'!$O$5,'Dati di Supporto'!$P$4,Vendite!F461&lt;'Dati di Supporto'!$O$6,'Dati di Supporto'!$P$5,Vendite!F461&gt;'Dati di Supporto'!$O$6,'Dati di Supporto'!$P$6)</f>
        <v>Fascia 5 (da 1500 € e oltre)</v>
      </c>
      <c r="M461" t="str">
        <f>_xlfn.IFS(G461='Dati di Supporto'!$O$10,'Dati di Supporto'!$P$10,Vendite!G461='Dati di Supporto'!$O$11,'Dati di Supporto'!$P$11,Vendite!G461='Dati di Supporto'!$O$12,'Dati di Supporto'!$P$12,Vendite!G461='Dati di Supporto'!$O$13,'Dati di Supporto'!$P$13,Vendite!G461='Dati di Supporto'!$O$14,'Dati di Supporto'!$P$14)</f>
        <v>Carta di credito</v>
      </c>
    </row>
    <row r="462" spans="1:13" x14ac:dyDescent="0.3">
      <c r="A462" s="11">
        <v>461</v>
      </c>
      <c r="B462" s="6">
        <v>41690</v>
      </c>
      <c r="C462" s="1" t="s">
        <v>8</v>
      </c>
      <c r="D462" s="2" t="s">
        <v>122</v>
      </c>
      <c r="E462" s="2" t="s">
        <v>252</v>
      </c>
      <c r="F462" s="3">
        <v>713</v>
      </c>
      <c r="G462" s="15">
        <v>5</v>
      </c>
      <c r="H462" t="str">
        <f>VLOOKUP(D462,'Dati di Supporto'!$B$2:$C$104,2,FALSE)</f>
        <v>Piemonte</v>
      </c>
      <c r="I462" t="str">
        <f>VLOOKUP(D462,'Dati di Supporto'!$B$2:$D$104,3,FALSE)</f>
        <v>TO</v>
      </c>
      <c r="J462" t="str">
        <f>VLOOKUP(H462,'Dati di Supporto'!$G$2:$H$21,2,FALSE)</f>
        <v>NORD</v>
      </c>
      <c r="K462">
        <f t="shared" si="7"/>
        <v>70</v>
      </c>
      <c r="L462" t="str">
        <f>_xlfn.IFS(Vendite!F462&lt;'Dati di Supporto'!$O$3,'Dati di Supporto'!$P$2,Vendite!F462&lt;'Dati di Supporto'!$O$4,'Dati di Supporto'!$P$3,Vendite!F462&lt;'Dati di Supporto'!$O$5,'Dati di Supporto'!$P$4,Vendite!F462&lt;'Dati di Supporto'!$O$6,'Dati di Supporto'!$P$5,Vendite!F462&gt;'Dati di Supporto'!$O$6,'Dati di Supporto'!$P$6)</f>
        <v>Fascia 2 (da 400 €  a meno di 800 €)</v>
      </c>
      <c r="M462" t="str">
        <f>_xlfn.IFS(G462='Dati di Supporto'!$O$10,'Dati di Supporto'!$P$10,Vendite!G462='Dati di Supporto'!$O$11,'Dati di Supporto'!$P$11,Vendite!G462='Dati di Supporto'!$O$12,'Dati di Supporto'!$P$12,Vendite!G462='Dati di Supporto'!$O$13,'Dati di Supporto'!$P$13,Vendite!G462='Dati di Supporto'!$O$14,'Dati di Supporto'!$P$14)</f>
        <v>Assegno Bancario</v>
      </c>
    </row>
    <row r="463" spans="1:13" x14ac:dyDescent="0.3">
      <c r="A463" s="11">
        <v>462</v>
      </c>
      <c r="B463" s="6">
        <v>41746</v>
      </c>
      <c r="C463" s="1" t="s">
        <v>8</v>
      </c>
      <c r="D463" s="2" t="s">
        <v>121</v>
      </c>
      <c r="E463" s="2" t="s">
        <v>11</v>
      </c>
      <c r="F463" s="3">
        <v>1509</v>
      </c>
      <c r="G463" s="15">
        <v>2</v>
      </c>
      <c r="H463" t="str">
        <f>VLOOKUP(D463,'Dati di Supporto'!$B$2:$C$104,2,FALSE)</f>
        <v>Umbria</v>
      </c>
      <c r="I463" t="str">
        <f>VLOOKUP(D463,'Dati di Supporto'!$B$2:$D$104,3,FALSE)</f>
        <v>TR</v>
      </c>
      <c r="J463" t="str">
        <f>VLOOKUP(H463,'Dati di Supporto'!$G$2:$H$21,2,FALSE)</f>
        <v>CENTRO</v>
      </c>
      <c r="K463">
        <f t="shared" si="7"/>
        <v>70</v>
      </c>
      <c r="L463" t="str">
        <f>_xlfn.IFS(Vendite!F463&lt;'Dati di Supporto'!$O$3,'Dati di Supporto'!$P$2,Vendite!F463&lt;'Dati di Supporto'!$O$4,'Dati di Supporto'!$P$3,Vendite!F463&lt;'Dati di Supporto'!$O$5,'Dati di Supporto'!$P$4,Vendite!F463&lt;'Dati di Supporto'!$O$6,'Dati di Supporto'!$P$5,Vendite!F463&gt;'Dati di Supporto'!$O$6,'Dati di Supporto'!$P$6)</f>
        <v>Fascia 5 (da 1500 € e oltre)</v>
      </c>
      <c r="M463" t="str">
        <f>_xlfn.IFS(G463='Dati di Supporto'!$O$10,'Dati di Supporto'!$P$10,Vendite!G463='Dati di Supporto'!$O$11,'Dati di Supporto'!$P$11,Vendite!G463='Dati di Supporto'!$O$12,'Dati di Supporto'!$P$12,Vendite!G463='Dati di Supporto'!$O$13,'Dati di Supporto'!$P$13,Vendite!G463='Dati di Supporto'!$O$14,'Dati di Supporto'!$P$14)</f>
        <v>Bonifico Bancario</v>
      </c>
    </row>
    <row r="464" spans="1:13" x14ac:dyDescent="0.3">
      <c r="A464" s="11">
        <v>463</v>
      </c>
      <c r="B464" s="6">
        <v>41663</v>
      </c>
      <c r="C464" s="1" t="s">
        <v>1</v>
      </c>
      <c r="D464" s="2" t="s">
        <v>114</v>
      </c>
      <c r="E464" s="2" t="s">
        <v>251</v>
      </c>
      <c r="F464" s="3">
        <v>210</v>
      </c>
      <c r="G464" s="15">
        <v>4</v>
      </c>
      <c r="H464" t="str">
        <f>VLOOKUP(D464,'Dati di Supporto'!$B$2:$C$104,2,FALSE)</f>
        <v>Sardegna</v>
      </c>
      <c r="I464" t="str">
        <f>VLOOKUP(D464,'Dati di Supporto'!$B$2:$D$104,3,FALSE)</f>
        <v>SS</v>
      </c>
      <c r="J464" t="str">
        <f>VLOOKUP(H464,'Dati di Supporto'!$G$2:$H$21,2,FALSE)</f>
        <v>ISOLE</v>
      </c>
      <c r="K464">
        <f t="shared" si="7"/>
        <v>96</v>
      </c>
      <c r="L464" t="str">
        <f>_xlfn.IFS(Vendite!F464&lt;'Dati di Supporto'!$O$3,'Dati di Supporto'!$P$2,Vendite!F464&lt;'Dati di Supporto'!$O$4,'Dati di Supporto'!$P$3,Vendite!F464&lt;'Dati di Supporto'!$O$5,'Dati di Supporto'!$P$4,Vendite!F464&lt;'Dati di Supporto'!$O$6,'Dati di Supporto'!$P$5,Vendite!F464&gt;'Dati di Supporto'!$O$6,'Dati di Supporto'!$P$6)</f>
        <v>Fascia 1 (inferiore a 400 €)</v>
      </c>
      <c r="M464" t="str">
        <f>_xlfn.IFS(G464='Dati di Supporto'!$O$10,'Dati di Supporto'!$P$10,Vendite!G464='Dati di Supporto'!$O$11,'Dati di Supporto'!$P$11,Vendite!G464='Dati di Supporto'!$O$12,'Dati di Supporto'!$P$12,Vendite!G464='Dati di Supporto'!$O$13,'Dati di Supporto'!$P$13,Vendite!G464='Dati di Supporto'!$O$14,'Dati di Supporto'!$P$14)</f>
        <v>Bollettino postale</v>
      </c>
    </row>
    <row r="465" spans="1:13" x14ac:dyDescent="0.3">
      <c r="A465" s="11">
        <v>464</v>
      </c>
      <c r="B465" s="6">
        <v>41755</v>
      </c>
      <c r="C465" s="1" t="s">
        <v>3</v>
      </c>
      <c r="D465" s="2" t="s">
        <v>100</v>
      </c>
      <c r="E465" s="2" t="s">
        <v>11</v>
      </c>
      <c r="F465" s="3">
        <v>660</v>
      </c>
      <c r="G465" s="15">
        <v>3</v>
      </c>
      <c r="H465" t="str">
        <f>VLOOKUP(D465,'Dati di Supporto'!$B$2:$C$104,2,FALSE)</f>
        <v>Abruzzo</v>
      </c>
      <c r="I465" t="str">
        <f>VLOOKUP(D465,'Dati di Supporto'!$B$2:$D$104,3,FALSE)</f>
        <v>PE</v>
      </c>
      <c r="J465" t="str">
        <f>VLOOKUP(H465,'Dati di Supporto'!$G$2:$H$21,2,FALSE)</f>
        <v>CENTRO</v>
      </c>
      <c r="K465">
        <f t="shared" si="7"/>
        <v>87</v>
      </c>
      <c r="L465" t="str">
        <f>_xlfn.IFS(Vendite!F465&lt;'Dati di Supporto'!$O$3,'Dati di Supporto'!$P$2,Vendite!F465&lt;'Dati di Supporto'!$O$4,'Dati di Supporto'!$P$3,Vendite!F465&lt;'Dati di Supporto'!$O$5,'Dati di Supporto'!$P$4,Vendite!F465&lt;'Dati di Supporto'!$O$6,'Dati di Supporto'!$P$5,Vendite!F465&gt;'Dati di Supporto'!$O$6,'Dati di Supporto'!$P$6)</f>
        <v>Fascia 2 (da 400 €  a meno di 800 €)</v>
      </c>
      <c r="M465" t="str">
        <f>_xlfn.IFS(G465='Dati di Supporto'!$O$10,'Dati di Supporto'!$P$10,Vendite!G465='Dati di Supporto'!$O$11,'Dati di Supporto'!$P$11,Vendite!G465='Dati di Supporto'!$O$12,'Dati di Supporto'!$P$12,Vendite!G465='Dati di Supporto'!$O$13,'Dati di Supporto'!$P$13,Vendite!G465='Dati di Supporto'!$O$14,'Dati di Supporto'!$P$14)</f>
        <v>Carta di credito</v>
      </c>
    </row>
    <row r="466" spans="1:13" x14ac:dyDescent="0.3">
      <c r="A466" s="11">
        <v>465</v>
      </c>
      <c r="B466" s="6">
        <v>41797</v>
      </c>
      <c r="C466" s="1" t="s">
        <v>1</v>
      </c>
      <c r="D466" s="2" t="s">
        <v>98</v>
      </c>
      <c r="E466" s="2" t="s">
        <v>251</v>
      </c>
      <c r="F466" s="3">
        <v>872</v>
      </c>
      <c r="G466" s="15">
        <v>2</v>
      </c>
      <c r="H466" t="str">
        <f>VLOOKUP(D466,'Dati di Supporto'!$B$2:$C$104,2,FALSE)</f>
        <v>Umbria</v>
      </c>
      <c r="I466" t="str">
        <f>VLOOKUP(D466,'Dati di Supporto'!$B$2:$D$104,3,FALSE)</f>
        <v>PG</v>
      </c>
      <c r="J466" t="str">
        <f>VLOOKUP(H466,'Dati di Supporto'!$G$2:$H$21,2,FALSE)</f>
        <v>CENTRO</v>
      </c>
      <c r="K466">
        <f t="shared" si="7"/>
        <v>96</v>
      </c>
      <c r="L466" t="str">
        <f>_xlfn.IFS(Vendite!F466&lt;'Dati di Supporto'!$O$3,'Dati di Supporto'!$P$2,Vendite!F466&lt;'Dati di Supporto'!$O$4,'Dati di Supporto'!$P$3,Vendite!F466&lt;'Dati di Supporto'!$O$5,'Dati di Supporto'!$P$4,Vendite!F466&lt;'Dati di Supporto'!$O$6,'Dati di Supporto'!$P$5,Vendite!F466&gt;'Dati di Supporto'!$O$6,'Dati di Supporto'!$P$6)</f>
        <v>Fascia 3 (da 800 €  a meno di 1200 €)</v>
      </c>
      <c r="M466" t="str">
        <f>_xlfn.IFS(G466='Dati di Supporto'!$O$10,'Dati di Supporto'!$P$10,Vendite!G466='Dati di Supporto'!$O$11,'Dati di Supporto'!$P$11,Vendite!G466='Dati di Supporto'!$O$12,'Dati di Supporto'!$P$12,Vendite!G466='Dati di Supporto'!$O$13,'Dati di Supporto'!$P$13,Vendite!G466='Dati di Supporto'!$O$14,'Dati di Supporto'!$P$14)</f>
        <v>Bonifico Bancario</v>
      </c>
    </row>
    <row r="467" spans="1:13" x14ac:dyDescent="0.3">
      <c r="A467" s="11">
        <v>466</v>
      </c>
      <c r="B467" s="6">
        <v>41701</v>
      </c>
      <c r="C467" s="1" t="s">
        <v>1</v>
      </c>
      <c r="D467" s="2" t="s">
        <v>122</v>
      </c>
      <c r="E467" s="2" t="s">
        <v>11</v>
      </c>
      <c r="F467" s="3">
        <v>1225</v>
      </c>
      <c r="G467" s="15">
        <v>5</v>
      </c>
      <c r="H467" t="str">
        <f>VLOOKUP(D467,'Dati di Supporto'!$B$2:$C$104,2,FALSE)</f>
        <v>Piemonte</v>
      </c>
      <c r="I467" t="str">
        <f>VLOOKUP(D467,'Dati di Supporto'!$B$2:$D$104,3,FALSE)</f>
        <v>TO</v>
      </c>
      <c r="J467" t="str">
        <f>VLOOKUP(H467,'Dati di Supporto'!$G$2:$H$21,2,FALSE)</f>
        <v>NORD</v>
      </c>
      <c r="K467">
        <f t="shared" si="7"/>
        <v>96</v>
      </c>
      <c r="L467" t="str">
        <f>_xlfn.IFS(Vendite!F467&lt;'Dati di Supporto'!$O$3,'Dati di Supporto'!$P$2,Vendite!F467&lt;'Dati di Supporto'!$O$4,'Dati di Supporto'!$P$3,Vendite!F467&lt;'Dati di Supporto'!$O$5,'Dati di Supporto'!$P$4,Vendite!F467&lt;'Dati di Supporto'!$O$6,'Dati di Supporto'!$P$5,Vendite!F467&gt;'Dati di Supporto'!$O$6,'Dati di Supporto'!$P$6)</f>
        <v>Fascia 4 (da 1200 €  a meno di 1500 €)</v>
      </c>
      <c r="M467" t="str">
        <f>_xlfn.IFS(G467='Dati di Supporto'!$O$10,'Dati di Supporto'!$P$10,Vendite!G467='Dati di Supporto'!$O$11,'Dati di Supporto'!$P$11,Vendite!G467='Dati di Supporto'!$O$12,'Dati di Supporto'!$P$12,Vendite!G467='Dati di Supporto'!$O$13,'Dati di Supporto'!$P$13,Vendite!G467='Dati di Supporto'!$O$14,'Dati di Supporto'!$P$14)</f>
        <v>Assegno Bancario</v>
      </c>
    </row>
    <row r="468" spans="1:13" x14ac:dyDescent="0.3">
      <c r="A468" s="11">
        <v>467</v>
      </c>
      <c r="B468" s="6">
        <v>41660</v>
      </c>
      <c r="C468" s="1" t="s">
        <v>2</v>
      </c>
      <c r="D468" s="2" t="s">
        <v>114</v>
      </c>
      <c r="E468" s="2" t="s">
        <v>11</v>
      </c>
      <c r="F468" s="3">
        <v>1916</v>
      </c>
      <c r="G468" s="15">
        <v>5</v>
      </c>
      <c r="H468" t="str">
        <f>VLOOKUP(D468,'Dati di Supporto'!$B$2:$C$104,2,FALSE)</f>
        <v>Sardegna</v>
      </c>
      <c r="I468" t="str">
        <f>VLOOKUP(D468,'Dati di Supporto'!$B$2:$D$104,3,FALSE)</f>
        <v>SS</v>
      </c>
      <c r="J468" t="str">
        <f>VLOOKUP(H468,'Dati di Supporto'!$G$2:$H$21,2,FALSE)</f>
        <v>ISOLE</v>
      </c>
      <c r="K468">
        <f t="shared" si="7"/>
        <v>84</v>
      </c>
      <c r="L468" t="str">
        <f>_xlfn.IFS(Vendite!F468&lt;'Dati di Supporto'!$O$3,'Dati di Supporto'!$P$2,Vendite!F468&lt;'Dati di Supporto'!$O$4,'Dati di Supporto'!$P$3,Vendite!F468&lt;'Dati di Supporto'!$O$5,'Dati di Supporto'!$P$4,Vendite!F468&lt;'Dati di Supporto'!$O$6,'Dati di Supporto'!$P$5,Vendite!F468&gt;'Dati di Supporto'!$O$6,'Dati di Supporto'!$P$6)</f>
        <v>Fascia 5 (da 1500 € e oltre)</v>
      </c>
      <c r="M468" t="str">
        <f>_xlfn.IFS(G468='Dati di Supporto'!$O$10,'Dati di Supporto'!$P$10,Vendite!G468='Dati di Supporto'!$O$11,'Dati di Supporto'!$P$11,Vendite!G468='Dati di Supporto'!$O$12,'Dati di Supporto'!$P$12,Vendite!G468='Dati di Supporto'!$O$13,'Dati di Supporto'!$P$13,Vendite!G468='Dati di Supporto'!$O$14,'Dati di Supporto'!$P$14)</f>
        <v>Assegno Bancario</v>
      </c>
    </row>
    <row r="469" spans="1:13" x14ac:dyDescent="0.3">
      <c r="A469" s="11">
        <v>468</v>
      </c>
      <c r="B469" s="6">
        <v>41802</v>
      </c>
      <c r="C469" s="1" t="s">
        <v>1</v>
      </c>
      <c r="D469" s="2" t="s">
        <v>130</v>
      </c>
      <c r="E469" s="2" t="s">
        <v>11</v>
      </c>
      <c r="F469" s="3">
        <v>1173</v>
      </c>
      <c r="G469" s="15">
        <v>2</v>
      </c>
      <c r="H469" t="str">
        <f>VLOOKUP(D469,'Dati di Supporto'!$B$2:$C$104,2,FALSE)</f>
        <v>Piemonte</v>
      </c>
      <c r="I469" t="str">
        <f>VLOOKUP(D469,'Dati di Supporto'!$B$2:$D$104,3,FALSE)</f>
        <v>VB</v>
      </c>
      <c r="J469" t="str">
        <f>VLOOKUP(H469,'Dati di Supporto'!$G$2:$H$21,2,FALSE)</f>
        <v>NORD</v>
      </c>
      <c r="K469">
        <f t="shared" si="7"/>
        <v>96</v>
      </c>
      <c r="L469" t="str">
        <f>_xlfn.IFS(Vendite!F469&lt;'Dati di Supporto'!$O$3,'Dati di Supporto'!$P$2,Vendite!F469&lt;'Dati di Supporto'!$O$4,'Dati di Supporto'!$P$3,Vendite!F469&lt;'Dati di Supporto'!$O$5,'Dati di Supporto'!$P$4,Vendite!F469&lt;'Dati di Supporto'!$O$6,'Dati di Supporto'!$P$5,Vendite!F469&gt;'Dati di Supporto'!$O$6,'Dati di Supporto'!$P$6)</f>
        <v>Fascia 3 (da 800 €  a meno di 1200 €)</v>
      </c>
      <c r="M469" t="str">
        <f>_xlfn.IFS(G469='Dati di Supporto'!$O$10,'Dati di Supporto'!$P$10,Vendite!G469='Dati di Supporto'!$O$11,'Dati di Supporto'!$P$11,Vendite!G469='Dati di Supporto'!$O$12,'Dati di Supporto'!$P$12,Vendite!G469='Dati di Supporto'!$O$13,'Dati di Supporto'!$P$13,Vendite!G469='Dati di Supporto'!$O$14,'Dati di Supporto'!$P$14)</f>
        <v>Bonifico Bancario</v>
      </c>
    </row>
    <row r="470" spans="1:13" x14ac:dyDescent="0.3">
      <c r="A470" s="11">
        <v>469</v>
      </c>
      <c r="B470" s="6">
        <v>41754</v>
      </c>
      <c r="C470" s="1" t="s">
        <v>247</v>
      </c>
      <c r="D470" s="2" t="s">
        <v>111</v>
      </c>
      <c r="E470" s="2" t="s">
        <v>252</v>
      </c>
      <c r="F470" s="3">
        <v>297</v>
      </c>
      <c r="G470" s="15">
        <v>3</v>
      </c>
      <c r="H470" t="str">
        <f>VLOOKUP(D470,'Dati di Supporto'!$B$2:$C$104,2,FALSE)</f>
        <v>Lazio</v>
      </c>
      <c r="I470" t="str">
        <f>VLOOKUP(D470,'Dati di Supporto'!$B$2:$D$104,3,FALSE)</f>
        <v>RM</v>
      </c>
      <c r="J470" t="str">
        <f>VLOOKUP(H470,'Dati di Supporto'!$G$2:$H$21,2,FALSE)</f>
        <v>CENTRO</v>
      </c>
      <c r="K470">
        <f t="shared" si="7"/>
        <v>83</v>
      </c>
      <c r="L470" t="str">
        <f>_xlfn.IFS(Vendite!F470&lt;'Dati di Supporto'!$O$3,'Dati di Supporto'!$P$2,Vendite!F470&lt;'Dati di Supporto'!$O$4,'Dati di Supporto'!$P$3,Vendite!F470&lt;'Dati di Supporto'!$O$5,'Dati di Supporto'!$P$4,Vendite!F470&lt;'Dati di Supporto'!$O$6,'Dati di Supporto'!$P$5,Vendite!F470&gt;'Dati di Supporto'!$O$6,'Dati di Supporto'!$P$6)</f>
        <v>Fascia 1 (inferiore a 400 €)</v>
      </c>
      <c r="M470" t="str">
        <f>_xlfn.IFS(G470='Dati di Supporto'!$O$10,'Dati di Supporto'!$P$10,Vendite!G470='Dati di Supporto'!$O$11,'Dati di Supporto'!$P$11,Vendite!G470='Dati di Supporto'!$O$12,'Dati di Supporto'!$P$12,Vendite!G470='Dati di Supporto'!$O$13,'Dati di Supporto'!$P$13,Vendite!G470='Dati di Supporto'!$O$14,'Dati di Supporto'!$P$14)</f>
        <v>Carta di credito</v>
      </c>
    </row>
    <row r="471" spans="1:13" x14ac:dyDescent="0.3">
      <c r="A471" s="11">
        <v>470</v>
      </c>
      <c r="B471" s="6">
        <v>41820</v>
      </c>
      <c r="C471" s="1" t="s">
        <v>3</v>
      </c>
      <c r="D471" s="2" t="s">
        <v>135</v>
      </c>
      <c r="E471" s="2" t="s">
        <v>252</v>
      </c>
      <c r="F471" s="3">
        <v>1244</v>
      </c>
      <c r="G471" s="15">
        <v>5</v>
      </c>
      <c r="H471" t="str">
        <f>VLOOKUP(D471,'Dati di Supporto'!$B$2:$C$104,2,FALSE)</f>
        <v>Lazio</v>
      </c>
      <c r="I471" t="str">
        <f>VLOOKUP(D471,'Dati di Supporto'!$B$2:$D$104,3,FALSE)</f>
        <v>VT</v>
      </c>
      <c r="J471" t="str">
        <f>VLOOKUP(H471,'Dati di Supporto'!$G$2:$H$21,2,FALSE)</f>
        <v>CENTRO</v>
      </c>
      <c r="K471">
        <f t="shared" si="7"/>
        <v>87</v>
      </c>
      <c r="L471" t="str">
        <f>_xlfn.IFS(Vendite!F471&lt;'Dati di Supporto'!$O$3,'Dati di Supporto'!$P$2,Vendite!F471&lt;'Dati di Supporto'!$O$4,'Dati di Supporto'!$P$3,Vendite!F471&lt;'Dati di Supporto'!$O$5,'Dati di Supporto'!$P$4,Vendite!F471&lt;'Dati di Supporto'!$O$6,'Dati di Supporto'!$P$5,Vendite!F471&gt;'Dati di Supporto'!$O$6,'Dati di Supporto'!$P$6)</f>
        <v>Fascia 4 (da 1200 €  a meno di 1500 €)</v>
      </c>
      <c r="M471" t="str">
        <f>_xlfn.IFS(G471='Dati di Supporto'!$O$10,'Dati di Supporto'!$P$10,Vendite!G471='Dati di Supporto'!$O$11,'Dati di Supporto'!$P$11,Vendite!G471='Dati di Supporto'!$O$12,'Dati di Supporto'!$P$12,Vendite!G471='Dati di Supporto'!$O$13,'Dati di Supporto'!$P$13,Vendite!G471='Dati di Supporto'!$O$14,'Dati di Supporto'!$P$14)</f>
        <v>Assegno Bancario</v>
      </c>
    </row>
    <row r="472" spans="1:13" x14ac:dyDescent="0.3">
      <c r="A472" s="11">
        <v>471</v>
      </c>
      <c r="B472" s="6">
        <v>41676</v>
      </c>
      <c r="C472" s="1" t="s">
        <v>3</v>
      </c>
      <c r="D472" s="2" t="s">
        <v>130</v>
      </c>
      <c r="E472" s="2" t="s">
        <v>250</v>
      </c>
      <c r="F472" s="3">
        <v>1099</v>
      </c>
      <c r="G472" s="15">
        <v>4</v>
      </c>
      <c r="H472" t="str">
        <f>VLOOKUP(D472,'Dati di Supporto'!$B$2:$C$104,2,FALSE)</f>
        <v>Piemonte</v>
      </c>
      <c r="I472" t="str">
        <f>VLOOKUP(D472,'Dati di Supporto'!$B$2:$D$104,3,FALSE)</f>
        <v>VB</v>
      </c>
      <c r="J472" t="str">
        <f>VLOOKUP(H472,'Dati di Supporto'!$G$2:$H$21,2,FALSE)</f>
        <v>NORD</v>
      </c>
      <c r="K472">
        <f t="shared" si="7"/>
        <v>87</v>
      </c>
      <c r="L472" t="str">
        <f>_xlfn.IFS(Vendite!F472&lt;'Dati di Supporto'!$O$3,'Dati di Supporto'!$P$2,Vendite!F472&lt;'Dati di Supporto'!$O$4,'Dati di Supporto'!$P$3,Vendite!F472&lt;'Dati di Supporto'!$O$5,'Dati di Supporto'!$P$4,Vendite!F472&lt;'Dati di Supporto'!$O$6,'Dati di Supporto'!$P$5,Vendite!F472&gt;'Dati di Supporto'!$O$6,'Dati di Supporto'!$P$6)</f>
        <v>Fascia 3 (da 800 €  a meno di 1200 €)</v>
      </c>
      <c r="M472" t="str">
        <f>_xlfn.IFS(G472='Dati di Supporto'!$O$10,'Dati di Supporto'!$P$10,Vendite!G472='Dati di Supporto'!$O$11,'Dati di Supporto'!$P$11,Vendite!G472='Dati di Supporto'!$O$12,'Dati di Supporto'!$P$12,Vendite!G472='Dati di Supporto'!$O$13,'Dati di Supporto'!$P$13,Vendite!G472='Dati di Supporto'!$O$14,'Dati di Supporto'!$P$14)</f>
        <v>Bollettino postale</v>
      </c>
    </row>
    <row r="473" spans="1:13" x14ac:dyDescent="0.3">
      <c r="A473" s="11">
        <v>472</v>
      </c>
      <c r="B473" s="6">
        <v>41779</v>
      </c>
      <c r="C473" s="1" t="s">
        <v>2</v>
      </c>
      <c r="D473" s="2" t="s">
        <v>104</v>
      </c>
      <c r="E473" s="2" t="s">
        <v>250</v>
      </c>
      <c r="F473" s="3">
        <v>1448</v>
      </c>
      <c r="G473" s="15">
        <v>1</v>
      </c>
      <c r="H473" t="str">
        <f>VLOOKUP(D473,'Dati di Supporto'!$B$2:$C$104,2,FALSE)</f>
        <v>Friuli-Venezia Giulia</v>
      </c>
      <c r="I473" t="str">
        <f>VLOOKUP(D473,'Dati di Supporto'!$B$2:$D$104,3,FALSE)</f>
        <v>PN</v>
      </c>
      <c r="J473" t="str">
        <f>VLOOKUP(H473,'Dati di Supporto'!$G$2:$H$21,2,FALSE)</f>
        <v>NORD</v>
      </c>
      <c r="K473">
        <f t="shared" si="7"/>
        <v>84</v>
      </c>
      <c r="L473" t="str">
        <f>_xlfn.IFS(Vendite!F473&lt;'Dati di Supporto'!$O$3,'Dati di Supporto'!$P$2,Vendite!F473&lt;'Dati di Supporto'!$O$4,'Dati di Supporto'!$P$3,Vendite!F473&lt;'Dati di Supporto'!$O$5,'Dati di Supporto'!$P$4,Vendite!F473&lt;'Dati di Supporto'!$O$6,'Dati di Supporto'!$P$5,Vendite!F473&gt;'Dati di Supporto'!$O$6,'Dati di Supporto'!$P$6)</f>
        <v>Fascia 4 (da 1200 €  a meno di 1500 €)</v>
      </c>
      <c r="M473" t="str">
        <f>_xlfn.IFS(G473='Dati di Supporto'!$O$10,'Dati di Supporto'!$P$10,Vendite!G473='Dati di Supporto'!$O$11,'Dati di Supporto'!$P$11,Vendite!G473='Dati di Supporto'!$O$12,'Dati di Supporto'!$P$12,Vendite!G473='Dati di Supporto'!$O$13,'Dati di Supporto'!$P$13,Vendite!G473='Dati di Supporto'!$O$14,'Dati di Supporto'!$P$14)</f>
        <v>Contanti</v>
      </c>
    </row>
    <row r="474" spans="1:13" x14ac:dyDescent="0.3">
      <c r="A474" s="11">
        <v>473</v>
      </c>
      <c r="B474" s="6">
        <v>41695</v>
      </c>
      <c r="C474" s="1" t="s">
        <v>247</v>
      </c>
      <c r="D474" s="2" t="s">
        <v>107</v>
      </c>
      <c r="E474" s="2" t="s">
        <v>252</v>
      </c>
      <c r="F474" s="3">
        <v>155</v>
      </c>
      <c r="G474" s="15">
        <v>5</v>
      </c>
      <c r="H474" t="str">
        <f>VLOOKUP(D474,'Dati di Supporto'!$B$2:$C$104,2,FALSE)</f>
        <v>Sicilia</v>
      </c>
      <c r="I474" t="str">
        <f>VLOOKUP(D474,'Dati di Supporto'!$B$2:$D$104,3,FALSE)</f>
        <v>RG</v>
      </c>
      <c r="J474" t="str">
        <f>VLOOKUP(H474,'Dati di Supporto'!$G$2:$H$21,2,FALSE)</f>
        <v>ISOLE</v>
      </c>
      <c r="K474">
        <f t="shared" si="7"/>
        <v>83</v>
      </c>
      <c r="L474" t="str">
        <f>_xlfn.IFS(Vendite!F474&lt;'Dati di Supporto'!$O$3,'Dati di Supporto'!$P$2,Vendite!F474&lt;'Dati di Supporto'!$O$4,'Dati di Supporto'!$P$3,Vendite!F474&lt;'Dati di Supporto'!$O$5,'Dati di Supporto'!$P$4,Vendite!F474&lt;'Dati di Supporto'!$O$6,'Dati di Supporto'!$P$5,Vendite!F474&gt;'Dati di Supporto'!$O$6,'Dati di Supporto'!$P$6)</f>
        <v>Fascia 1 (inferiore a 400 €)</v>
      </c>
      <c r="M474" t="str">
        <f>_xlfn.IFS(G474='Dati di Supporto'!$O$10,'Dati di Supporto'!$P$10,Vendite!G474='Dati di Supporto'!$O$11,'Dati di Supporto'!$P$11,Vendite!G474='Dati di Supporto'!$O$12,'Dati di Supporto'!$P$12,Vendite!G474='Dati di Supporto'!$O$13,'Dati di Supporto'!$P$13,Vendite!G474='Dati di Supporto'!$O$14,'Dati di Supporto'!$P$14)</f>
        <v>Assegno Bancario</v>
      </c>
    </row>
    <row r="475" spans="1:13" x14ac:dyDescent="0.3">
      <c r="A475" s="11">
        <v>474</v>
      </c>
      <c r="B475" s="6">
        <v>41697</v>
      </c>
      <c r="C475" s="1" t="s">
        <v>1</v>
      </c>
      <c r="D475" s="2" t="s">
        <v>130</v>
      </c>
      <c r="E475" s="2" t="s">
        <v>11</v>
      </c>
      <c r="F475" s="3">
        <v>214</v>
      </c>
      <c r="G475" s="15">
        <v>2</v>
      </c>
      <c r="H475" t="str">
        <f>VLOOKUP(D475,'Dati di Supporto'!$B$2:$C$104,2,FALSE)</f>
        <v>Piemonte</v>
      </c>
      <c r="I475" t="str">
        <f>VLOOKUP(D475,'Dati di Supporto'!$B$2:$D$104,3,FALSE)</f>
        <v>VB</v>
      </c>
      <c r="J475" t="str">
        <f>VLOOKUP(H475,'Dati di Supporto'!$G$2:$H$21,2,FALSE)</f>
        <v>NORD</v>
      </c>
      <c r="K475">
        <f t="shared" si="7"/>
        <v>96</v>
      </c>
      <c r="L475" t="str">
        <f>_xlfn.IFS(Vendite!F475&lt;'Dati di Supporto'!$O$3,'Dati di Supporto'!$P$2,Vendite!F475&lt;'Dati di Supporto'!$O$4,'Dati di Supporto'!$P$3,Vendite!F475&lt;'Dati di Supporto'!$O$5,'Dati di Supporto'!$P$4,Vendite!F475&lt;'Dati di Supporto'!$O$6,'Dati di Supporto'!$P$5,Vendite!F475&gt;'Dati di Supporto'!$O$6,'Dati di Supporto'!$P$6)</f>
        <v>Fascia 1 (inferiore a 400 €)</v>
      </c>
      <c r="M475" t="str">
        <f>_xlfn.IFS(G475='Dati di Supporto'!$O$10,'Dati di Supporto'!$P$10,Vendite!G475='Dati di Supporto'!$O$11,'Dati di Supporto'!$P$11,Vendite!G475='Dati di Supporto'!$O$12,'Dati di Supporto'!$P$12,Vendite!G475='Dati di Supporto'!$O$13,'Dati di Supporto'!$P$13,Vendite!G475='Dati di Supporto'!$O$14,'Dati di Supporto'!$P$14)</f>
        <v>Bonifico Bancario</v>
      </c>
    </row>
    <row r="476" spans="1:13" x14ac:dyDescent="0.3">
      <c r="A476" s="11">
        <v>475</v>
      </c>
      <c r="B476" s="6">
        <v>41802</v>
      </c>
      <c r="C476" s="1" t="s">
        <v>247</v>
      </c>
      <c r="D476" s="2" t="s">
        <v>124</v>
      </c>
      <c r="E476" s="2" t="s">
        <v>10</v>
      </c>
      <c r="F476" s="3">
        <v>1956</v>
      </c>
      <c r="G476" s="15">
        <v>1</v>
      </c>
      <c r="H476" t="str">
        <f>VLOOKUP(D476,'Dati di Supporto'!$B$2:$C$104,2,FALSE)</f>
        <v>Trentino-Alto Adige</v>
      </c>
      <c r="I476" t="str">
        <f>VLOOKUP(D476,'Dati di Supporto'!$B$2:$D$104,3,FALSE)</f>
        <v>TN</v>
      </c>
      <c r="J476" t="str">
        <f>VLOOKUP(H476,'Dati di Supporto'!$G$2:$H$21,2,FALSE)</f>
        <v>NORD</v>
      </c>
      <c r="K476">
        <f t="shared" si="7"/>
        <v>83</v>
      </c>
      <c r="L476" t="str">
        <f>_xlfn.IFS(Vendite!F476&lt;'Dati di Supporto'!$O$3,'Dati di Supporto'!$P$2,Vendite!F476&lt;'Dati di Supporto'!$O$4,'Dati di Supporto'!$P$3,Vendite!F476&lt;'Dati di Supporto'!$O$5,'Dati di Supporto'!$P$4,Vendite!F476&lt;'Dati di Supporto'!$O$6,'Dati di Supporto'!$P$5,Vendite!F476&gt;'Dati di Supporto'!$O$6,'Dati di Supporto'!$P$6)</f>
        <v>Fascia 5 (da 1500 € e oltre)</v>
      </c>
      <c r="M476" t="str">
        <f>_xlfn.IFS(G476='Dati di Supporto'!$O$10,'Dati di Supporto'!$P$10,Vendite!G476='Dati di Supporto'!$O$11,'Dati di Supporto'!$P$11,Vendite!G476='Dati di Supporto'!$O$12,'Dati di Supporto'!$P$12,Vendite!G476='Dati di Supporto'!$O$13,'Dati di Supporto'!$P$13,Vendite!G476='Dati di Supporto'!$O$14,'Dati di Supporto'!$P$14)</f>
        <v>Contanti</v>
      </c>
    </row>
    <row r="477" spans="1:13" x14ac:dyDescent="0.3">
      <c r="A477" s="11">
        <v>476</v>
      </c>
      <c r="B477" s="6">
        <v>41659</v>
      </c>
      <c r="C477" s="1" t="s">
        <v>1</v>
      </c>
      <c r="D477" s="2" t="s">
        <v>122</v>
      </c>
      <c r="E477" s="2" t="s">
        <v>251</v>
      </c>
      <c r="F477" s="3">
        <v>1938</v>
      </c>
      <c r="G477" s="15">
        <v>3</v>
      </c>
      <c r="H477" t="str">
        <f>VLOOKUP(D477,'Dati di Supporto'!$B$2:$C$104,2,FALSE)</f>
        <v>Piemonte</v>
      </c>
      <c r="I477" t="str">
        <f>VLOOKUP(D477,'Dati di Supporto'!$B$2:$D$104,3,FALSE)</f>
        <v>TO</v>
      </c>
      <c r="J477" t="str">
        <f>VLOOKUP(H477,'Dati di Supporto'!$G$2:$H$21,2,FALSE)</f>
        <v>NORD</v>
      </c>
      <c r="K477">
        <f t="shared" si="7"/>
        <v>96</v>
      </c>
      <c r="L477" t="str">
        <f>_xlfn.IFS(Vendite!F477&lt;'Dati di Supporto'!$O$3,'Dati di Supporto'!$P$2,Vendite!F477&lt;'Dati di Supporto'!$O$4,'Dati di Supporto'!$P$3,Vendite!F477&lt;'Dati di Supporto'!$O$5,'Dati di Supporto'!$P$4,Vendite!F477&lt;'Dati di Supporto'!$O$6,'Dati di Supporto'!$P$5,Vendite!F477&gt;'Dati di Supporto'!$O$6,'Dati di Supporto'!$P$6)</f>
        <v>Fascia 5 (da 1500 € e oltre)</v>
      </c>
      <c r="M477" t="str">
        <f>_xlfn.IFS(G477='Dati di Supporto'!$O$10,'Dati di Supporto'!$P$10,Vendite!G477='Dati di Supporto'!$O$11,'Dati di Supporto'!$P$11,Vendite!G477='Dati di Supporto'!$O$12,'Dati di Supporto'!$P$12,Vendite!G477='Dati di Supporto'!$O$13,'Dati di Supporto'!$P$13,Vendite!G477='Dati di Supporto'!$O$14,'Dati di Supporto'!$P$14)</f>
        <v>Carta di credito</v>
      </c>
    </row>
    <row r="478" spans="1:13" x14ac:dyDescent="0.3">
      <c r="A478" s="11">
        <v>477</v>
      </c>
      <c r="B478" s="6">
        <v>41763</v>
      </c>
      <c r="C478" s="1" t="s">
        <v>247</v>
      </c>
      <c r="D478" s="2" t="s">
        <v>121</v>
      </c>
      <c r="E478" s="2" t="s">
        <v>250</v>
      </c>
      <c r="F478" s="3">
        <v>336</v>
      </c>
      <c r="G478" s="15">
        <v>5</v>
      </c>
      <c r="H478" t="str">
        <f>VLOOKUP(D478,'Dati di Supporto'!$B$2:$C$104,2,FALSE)</f>
        <v>Umbria</v>
      </c>
      <c r="I478" t="str">
        <f>VLOOKUP(D478,'Dati di Supporto'!$B$2:$D$104,3,FALSE)</f>
        <v>TR</v>
      </c>
      <c r="J478" t="str">
        <f>VLOOKUP(H478,'Dati di Supporto'!$G$2:$H$21,2,FALSE)</f>
        <v>CENTRO</v>
      </c>
      <c r="K478">
        <f t="shared" si="7"/>
        <v>83</v>
      </c>
      <c r="L478" t="str">
        <f>_xlfn.IFS(Vendite!F478&lt;'Dati di Supporto'!$O$3,'Dati di Supporto'!$P$2,Vendite!F478&lt;'Dati di Supporto'!$O$4,'Dati di Supporto'!$P$3,Vendite!F478&lt;'Dati di Supporto'!$O$5,'Dati di Supporto'!$P$4,Vendite!F478&lt;'Dati di Supporto'!$O$6,'Dati di Supporto'!$P$5,Vendite!F478&gt;'Dati di Supporto'!$O$6,'Dati di Supporto'!$P$6)</f>
        <v>Fascia 1 (inferiore a 400 €)</v>
      </c>
      <c r="M478" t="str">
        <f>_xlfn.IFS(G478='Dati di Supporto'!$O$10,'Dati di Supporto'!$P$10,Vendite!G478='Dati di Supporto'!$O$11,'Dati di Supporto'!$P$11,Vendite!G478='Dati di Supporto'!$O$12,'Dati di Supporto'!$P$12,Vendite!G478='Dati di Supporto'!$O$13,'Dati di Supporto'!$P$13,Vendite!G478='Dati di Supporto'!$O$14,'Dati di Supporto'!$P$14)</f>
        <v>Assegno Bancario</v>
      </c>
    </row>
    <row r="479" spans="1:13" x14ac:dyDescent="0.3">
      <c r="A479" s="11">
        <v>478</v>
      </c>
      <c r="B479" s="6">
        <v>41640</v>
      </c>
      <c r="C479" s="1" t="s">
        <v>8</v>
      </c>
      <c r="D479" s="2" t="s">
        <v>120</v>
      </c>
      <c r="E479" s="2" t="s">
        <v>250</v>
      </c>
      <c r="F479" s="3">
        <v>1467</v>
      </c>
      <c r="G479" s="15">
        <v>1</v>
      </c>
      <c r="H479" t="str">
        <f>VLOOKUP(D479,'Dati di Supporto'!$B$2:$C$104,2,FALSE)</f>
        <v>Abruzzo</v>
      </c>
      <c r="I479" t="str">
        <f>VLOOKUP(D479,'Dati di Supporto'!$B$2:$D$104,3,FALSE)</f>
        <v>TE</v>
      </c>
      <c r="J479" t="str">
        <f>VLOOKUP(H479,'Dati di Supporto'!$G$2:$H$21,2,FALSE)</f>
        <v>CENTRO</v>
      </c>
      <c r="K479">
        <f t="shared" si="7"/>
        <v>70</v>
      </c>
      <c r="L479" t="str">
        <f>_xlfn.IFS(Vendite!F479&lt;'Dati di Supporto'!$O$3,'Dati di Supporto'!$P$2,Vendite!F479&lt;'Dati di Supporto'!$O$4,'Dati di Supporto'!$P$3,Vendite!F479&lt;'Dati di Supporto'!$O$5,'Dati di Supporto'!$P$4,Vendite!F479&lt;'Dati di Supporto'!$O$6,'Dati di Supporto'!$P$5,Vendite!F479&gt;'Dati di Supporto'!$O$6,'Dati di Supporto'!$P$6)</f>
        <v>Fascia 4 (da 1200 €  a meno di 1500 €)</v>
      </c>
      <c r="M479" t="str">
        <f>_xlfn.IFS(G479='Dati di Supporto'!$O$10,'Dati di Supporto'!$P$10,Vendite!G479='Dati di Supporto'!$O$11,'Dati di Supporto'!$P$11,Vendite!G479='Dati di Supporto'!$O$12,'Dati di Supporto'!$P$12,Vendite!G479='Dati di Supporto'!$O$13,'Dati di Supporto'!$P$13,Vendite!G479='Dati di Supporto'!$O$14,'Dati di Supporto'!$P$14)</f>
        <v>Contanti</v>
      </c>
    </row>
    <row r="480" spans="1:13" x14ac:dyDescent="0.3">
      <c r="A480" s="11">
        <v>479</v>
      </c>
      <c r="B480" s="6">
        <v>41794</v>
      </c>
      <c r="C480" s="1" t="s">
        <v>248</v>
      </c>
      <c r="D480" s="2" t="s">
        <v>105</v>
      </c>
      <c r="E480" s="2" t="s">
        <v>11</v>
      </c>
      <c r="F480" s="3">
        <v>308</v>
      </c>
      <c r="G480" s="15">
        <v>5</v>
      </c>
      <c r="H480" t="str">
        <f>VLOOKUP(D480,'Dati di Supporto'!$B$2:$C$104,2,FALSE)</f>
        <v>Basilicata</v>
      </c>
      <c r="I480" t="str">
        <f>VLOOKUP(D480,'Dati di Supporto'!$B$2:$D$104,3,FALSE)</f>
        <v>PZ</v>
      </c>
      <c r="J480" t="str">
        <f>VLOOKUP(H480,'Dati di Supporto'!$G$2:$H$21,2,FALSE)</f>
        <v>SUD</v>
      </c>
      <c r="K480">
        <f t="shared" si="7"/>
        <v>80</v>
      </c>
      <c r="L480" t="str">
        <f>_xlfn.IFS(Vendite!F480&lt;'Dati di Supporto'!$O$3,'Dati di Supporto'!$P$2,Vendite!F480&lt;'Dati di Supporto'!$O$4,'Dati di Supporto'!$P$3,Vendite!F480&lt;'Dati di Supporto'!$O$5,'Dati di Supporto'!$P$4,Vendite!F480&lt;'Dati di Supporto'!$O$6,'Dati di Supporto'!$P$5,Vendite!F480&gt;'Dati di Supporto'!$O$6,'Dati di Supporto'!$P$6)</f>
        <v>Fascia 1 (inferiore a 400 €)</v>
      </c>
      <c r="M480" t="str">
        <f>_xlfn.IFS(G480='Dati di Supporto'!$O$10,'Dati di Supporto'!$P$10,Vendite!G480='Dati di Supporto'!$O$11,'Dati di Supporto'!$P$11,Vendite!G480='Dati di Supporto'!$O$12,'Dati di Supporto'!$P$12,Vendite!G480='Dati di Supporto'!$O$13,'Dati di Supporto'!$P$13,Vendite!G480='Dati di Supporto'!$O$14,'Dati di Supporto'!$P$14)</f>
        <v>Assegno Bancario</v>
      </c>
    </row>
    <row r="481" spans="1:13" x14ac:dyDescent="0.3">
      <c r="A481" s="11">
        <v>480</v>
      </c>
      <c r="B481" s="6">
        <v>41786</v>
      </c>
      <c r="C481" s="1" t="s">
        <v>247</v>
      </c>
      <c r="D481" s="2" t="s">
        <v>126</v>
      </c>
      <c r="E481" s="2" t="s">
        <v>252</v>
      </c>
      <c r="F481" s="3">
        <v>1581</v>
      </c>
      <c r="G481" s="15">
        <v>3</v>
      </c>
      <c r="H481" t="str">
        <f>VLOOKUP(D481,'Dati di Supporto'!$B$2:$C$104,2,FALSE)</f>
        <v>Friuli-Venezia Giulia</v>
      </c>
      <c r="I481" t="str">
        <f>VLOOKUP(D481,'Dati di Supporto'!$B$2:$D$104,3,FALSE)</f>
        <v>TS</v>
      </c>
      <c r="J481" t="str">
        <f>VLOOKUP(H481,'Dati di Supporto'!$G$2:$H$21,2,FALSE)</f>
        <v>NORD</v>
      </c>
      <c r="K481">
        <f t="shared" si="7"/>
        <v>83</v>
      </c>
      <c r="L481" t="str">
        <f>_xlfn.IFS(Vendite!F481&lt;'Dati di Supporto'!$O$3,'Dati di Supporto'!$P$2,Vendite!F481&lt;'Dati di Supporto'!$O$4,'Dati di Supporto'!$P$3,Vendite!F481&lt;'Dati di Supporto'!$O$5,'Dati di Supporto'!$P$4,Vendite!F481&lt;'Dati di Supporto'!$O$6,'Dati di Supporto'!$P$5,Vendite!F481&gt;'Dati di Supporto'!$O$6,'Dati di Supporto'!$P$6)</f>
        <v>Fascia 5 (da 1500 € e oltre)</v>
      </c>
      <c r="M481" t="str">
        <f>_xlfn.IFS(G481='Dati di Supporto'!$O$10,'Dati di Supporto'!$P$10,Vendite!G481='Dati di Supporto'!$O$11,'Dati di Supporto'!$P$11,Vendite!G481='Dati di Supporto'!$O$12,'Dati di Supporto'!$P$12,Vendite!G481='Dati di Supporto'!$O$13,'Dati di Supporto'!$P$13,Vendite!G481='Dati di Supporto'!$O$14,'Dati di Supporto'!$P$14)</f>
        <v>Carta di credito</v>
      </c>
    </row>
    <row r="482" spans="1:13" x14ac:dyDescent="0.3">
      <c r="A482" s="11">
        <v>481</v>
      </c>
      <c r="B482" s="6">
        <v>41713</v>
      </c>
      <c r="C482" s="1" t="s">
        <v>3</v>
      </c>
      <c r="D482" s="2" t="s">
        <v>134</v>
      </c>
      <c r="E482" s="2" t="s">
        <v>250</v>
      </c>
      <c r="F482" s="3">
        <v>539</v>
      </c>
      <c r="G482" s="15">
        <v>5</v>
      </c>
      <c r="H482" t="str">
        <f>VLOOKUP(D482,'Dati di Supporto'!$B$2:$C$104,2,FALSE)</f>
        <v>Veneto</v>
      </c>
      <c r="I482" t="str">
        <f>VLOOKUP(D482,'Dati di Supporto'!$B$2:$D$104,3,FALSE)</f>
        <v>VI</v>
      </c>
      <c r="J482" t="str">
        <f>VLOOKUP(H482,'Dati di Supporto'!$G$2:$H$21,2,FALSE)</f>
        <v>NORD</v>
      </c>
      <c r="K482">
        <f t="shared" si="7"/>
        <v>87</v>
      </c>
      <c r="L482" t="str">
        <f>_xlfn.IFS(Vendite!F482&lt;'Dati di Supporto'!$O$3,'Dati di Supporto'!$P$2,Vendite!F482&lt;'Dati di Supporto'!$O$4,'Dati di Supporto'!$P$3,Vendite!F482&lt;'Dati di Supporto'!$O$5,'Dati di Supporto'!$P$4,Vendite!F482&lt;'Dati di Supporto'!$O$6,'Dati di Supporto'!$P$5,Vendite!F482&gt;'Dati di Supporto'!$O$6,'Dati di Supporto'!$P$6)</f>
        <v>Fascia 2 (da 400 €  a meno di 800 €)</v>
      </c>
      <c r="M482" t="str">
        <f>_xlfn.IFS(G482='Dati di Supporto'!$O$10,'Dati di Supporto'!$P$10,Vendite!G482='Dati di Supporto'!$O$11,'Dati di Supporto'!$P$11,Vendite!G482='Dati di Supporto'!$O$12,'Dati di Supporto'!$P$12,Vendite!G482='Dati di Supporto'!$O$13,'Dati di Supporto'!$P$13,Vendite!G482='Dati di Supporto'!$O$14,'Dati di Supporto'!$P$14)</f>
        <v>Assegno Bancario</v>
      </c>
    </row>
    <row r="483" spans="1:13" x14ac:dyDescent="0.3">
      <c r="A483" s="11">
        <v>482</v>
      </c>
      <c r="B483" s="6">
        <v>41757</v>
      </c>
      <c r="C483" s="1" t="s">
        <v>1</v>
      </c>
      <c r="D483" s="2" t="s">
        <v>121</v>
      </c>
      <c r="E483" s="2" t="s">
        <v>250</v>
      </c>
      <c r="F483" s="3">
        <v>1847</v>
      </c>
      <c r="G483" s="15">
        <v>1</v>
      </c>
      <c r="H483" t="str">
        <f>VLOOKUP(D483,'Dati di Supporto'!$B$2:$C$104,2,FALSE)</f>
        <v>Umbria</v>
      </c>
      <c r="I483" t="str">
        <f>VLOOKUP(D483,'Dati di Supporto'!$B$2:$D$104,3,FALSE)</f>
        <v>TR</v>
      </c>
      <c r="J483" t="str">
        <f>VLOOKUP(H483,'Dati di Supporto'!$G$2:$H$21,2,FALSE)</f>
        <v>CENTRO</v>
      </c>
      <c r="K483">
        <f t="shared" si="7"/>
        <v>96</v>
      </c>
      <c r="L483" t="str">
        <f>_xlfn.IFS(Vendite!F483&lt;'Dati di Supporto'!$O$3,'Dati di Supporto'!$P$2,Vendite!F483&lt;'Dati di Supporto'!$O$4,'Dati di Supporto'!$P$3,Vendite!F483&lt;'Dati di Supporto'!$O$5,'Dati di Supporto'!$P$4,Vendite!F483&lt;'Dati di Supporto'!$O$6,'Dati di Supporto'!$P$5,Vendite!F483&gt;'Dati di Supporto'!$O$6,'Dati di Supporto'!$P$6)</f>
        <v>Fascia 5 (da 1500 € e oltre)</v>
      </c>
      <c r="M483" t="str">
        <f>_xlfn.IFS(G483='Dati di Supporto'!$O$10,'Dati di Supporto'!$P$10,Vendite!G483='Dati di Supporto'!$O$11,'Dati di Supporto'!$P$11,Vendite!G483='Dati di Supporto'!$O$12,'Dati di Supporto'!$P$12,Vendite!G483='Dati di Supporto'!$O$13,'Dati di Supporto'!$P$13,Vendite!G483='Dati di Supporto'!$O$14,'Dati di Supporto'!$P$14)</f>
        <v>Contanti</v>
      </c>
    </row>
    <row r="484" spans="1:13" x14ac:dyDescent="0.3">
      <c r="A484" s="11">
        <v>483</v>
      </c>
      <c r="B484" s="6">
        <v>41644</v>
      </c>
      <c r="C484" s="1" t="s">
        <v>248</v>
      </c>
      <c r="D484" s="2" t="s">
        <v>108</v>
      </c>
      <c r="E484" s="2" t="s">
        <v>251</v>
      </c>
      <c r="F484" s="3">
        <v>495</v>
      </c>
      <c r="G484" s="15">
        <v>3</v>
      </c>
      <c r="H484" t="str">
        <f>VLOOKUP(D484,'Dati di Supporto'!$B$2:$C$104,2,FALSE)</f>
        <v>Emilia-Romagna</v>
      </c>
      <c r="I484" t="str">
        <f>VLOOKUP(D484,'Dati di Supporto'!$B$2:$D$104,3,FALSE)</f>
        <v>RA</v>
      </c>
      <c r="J484" t="str">
        <f>VLOOKUP(H484,'Dati di Supporto'!$G$2:$H$21,2,FALSE)</f>
        <v>NORD</v>
      </c>
      <c r="K484">
        <f t="shared" si="7"/>
        <v>80</v>
      </c>
      <c r="L484" t="str">
        <f>_xlfn.IFS(Vendite!F484&lt;'Dati di Supporto'!$O$3,'Dati di Supporto'!$P$2,Vendite!F484&lt;'Dati di Supporto'!$O$4,'Dati di Supporto'!$P$3,Vendite!F484&lt;'Dati di Supporto'!$O$5,'Dati di Supporto'!$P$4,Vendite!F484&lt;'Dati di Supporto'!$O$6,'Dati di Supporto'!$P$5,Vendite!F484&gt;'Dati di Supporto'!$O$6,'Dati di Supporto'!$P$6)</f>
        <v>Fascia 2 (da 400 €  a meno di 800 €)</v>
      </c>
      <c r="M484" t="str">
        <f>_xlfn.IFS(G484='Dati di Supporto'!$O$10,'Dati di Supporto'!$P$10,Vendite!G484='Dati di Supporto'!$O$11,'Dati di Supporto'!$P$11,Vendite!G484='Dati di Supporto'!$O$12,'Dati di Supporto'!$P$12,Vendite!G484='Dati di Supporto'!$O$13,'Dati di Supporto'!$P$13,Vendite!G484='Dati di Supporto'!$O$14,'Dati di Supporto'!$P$14)</f>
        <v>Carta di credito</v>
      </c>
    </row>
    <row r="485" spans="1:13" x14ac:dyDescent="0.3">
      <c r="A485" s="11">
        <v>484</v>
      </c>
      <c r="B485" s="6">
        <v>41650</v>
      </c>
      <c r="C485" s="1" t="s">
        <v>248</v>
      </c>
      <c r="D485" s="2" t="s">
        <v>116</v>
      </c>
      <c r="E485" s="2" t="s">
        <v>11</v>
      </c>
      <c r="F485" s="3">
        <v>369</v>
      </c>
      <c r="G485" s="15">
        <v>5</v>
      </c>
      <c r="H485" t="str">
        <f>VLOOKUP(D485,'Dati di Supporto'!$B$2:$C$104,2,FALSE)</f>
        <v>Toscana</v>
      </c>
      <c r="I485" t="str">
        <f>VLOOKUP(D485,'Dati di Supporto'!$B$2:$D$104,3,FALSE)</f>
        <v>SI</v>
      </c>
      <c r="J485" t="str">
        <f>VLOOKUP(H485,'Dati di Supporto'!$G$2:$H$21,2,FALSE)</f>
        <v>CENTRO</v>
      </c>
      <c r="K485">
        <f t="shared" si="7"/>
        <v>80</v>
      </c>
      <c r="L485" t="str">
        <f>_xlfn.IFS(Vendite!F485&lt;'Dati di Supporto'!$O$3,'Dati di Supporto'!$P$2,Vendite!F485&lt;'Dati di Supporto'!$O$4,'Dati di Supporto'!$P$3,Vendite!F485&lt;'Dati di Supporto'!$O$5,'Dati di Supporto'!$P$4,Vendite!F485&lt;'Dati di Supporto'!$O$6,'Dati di Supporto'!$P$5,Vendite!F485&gt;'Dati di Supporto'!$O$6,'Dati di Supporto'!$P$6)</f>
        <v>Fascia 1 (inferiore a 400 €)</v>
      </c>
      <c r="M485" t="str">
        <f>_xlfn.IFS(G485='Dati di Supporto'!$O$10,'Dati di Supporto'!$P$10,Vendite!G485='Dati di Supporto'!$O$11,'Dati di Supporto'!$P$11,Vendite!G485='Dati di Supporto'!$O$12,'Dati di Supporto'!$P$12,Vendite!G485='Dati di Supporto'!$O$13,'Dati di Supporto'!$P$13,Vendite!G485='Dati di Supporto'!$O$14,'Dati di Supporto'!$P$14)</f>
        <v>Assegno Bancario</v>
      </c>
    </row>
    <row r="486" spans="1:13" x14ac:dyDescent="0.3">
      <c r="A486" s="11">
        <v>485</v>
      </c>
      <c r="B486" s="6">
        <v>41783</v>
      </c>
      <c r="C486" s="1" t="s">
        <v>2</v>
      </c>
      <c r="D486" s="2" t="s">
        <v>132</v>
      </c>
      <c r="E486" s="2" t="s">
        <v>10</v>
      </c>
      <c r="F486" s="3">
        <v>1963</v>
      </c>
      <c r="G486" s="15">
        <v>3</v>
      </c>
      <c r="H486" t="str">
        <f>VLOOKUP(D486,'Dati di Supporto'!$B$2:$C$104,2,FALSE)</f>
        <v>Veneto</v>
      </c>
      <c r="I486" t="str">
        <f>VLOOKUP(D486,'Dati di Supporto'!$B$2:$D$104,3,FALSE)</f>
        <v>VR</v>
      </c>
      <c r="J486" t="str">
        <f>VLOOKUP(H486,'Dati di Supporto'!$G$2:$H$21,2,FALSE)</f>
        <v>NORD</v>
      </c>
      <c r="K486">
        <f t="shared" si="7"/>
        <v>84</v>
      </c>
      <c r="L486" t="str">
        <f>_xlfn.IFS(Vendite!F486&lt;'Dati di Supporto'!$O$3,'Dati di Supporto'!$P$2,Vendite!F486&lt;'Dati di Supporto'!$O$4,'Dati di Supporto'!$P$3,Vendite!F486&lt;'Dati di Supporto'!$O$5,'Dati di Supporto'!$P$4,Vendite!F486&lt;'Dati di Supporto'!$O$6,'Dati di Supporto'!$P$5,Vendite!F486&gt;'Dati di Supporto'!$O$6,'Dati di Supporto'!$P$6)</f>
        <v>Fascia 5 (da 1500 € e oltre)</v>
      </c>
      <c r="M486" t="str">
        <f>_xlfn.IFS(G486='Dati di Supporto'!$O$10,'Dati di Supporto'!$P$10,Vendite!G486='Dati di Supporto'!$O$11,'Dati di Supporto'!$P$11,Vendite!G486='Dati di Supporto'!$O$12,'Dati di Supporto'!$P$12,Vendite!G486='Dati di Supporto'!$O$13,'Dati di Supporto'!$P$13,Vendite!G486='Dati di Supporto'!$O$14,'Dati di Supporto'!$P$14)</f>
        <v>Carta di credito</v>
      </c>
    </row>
    <row r="487" spans="1:13" x14ac:dyDescent="0.3">
      <c r="A487" s="11">
        <v>486</v>
      </c>
      <c r="B487" s="6">
        <v>41787</v>
      </c>
      <c r="C487" s="1" t="s">
        <v>1</v>
      </c>
      <c r="D487" s="2" t="s">
        <v>113</v>
      </c>
      <c r="E487" s="2" t="s">
        <v>251</v>
      </c>
      <c r="F487" s="3">
        <v>1334</v>
      </c>
      <c r="G487" s="15">
        <v>3</v>
      </c>
      <c r="H487" t="str">
        <f>VLOOKUP(D487,'Dati di Supporto'!$B$2:$C$104,2,FALSE)</f>
        <v>Campania</v>
      </c>
      <c r="I487" t="str">
        <f>VLOOKUP(D487,'Dati di Supporto'!$B$2:$D$104,3,FALSE)</f>
        <v>SA</v>
      </c>
      <c r="J487" t="str">
        <f>VLOOKUP(H487,'Dati di Supporto'!$G$2:$H$21,2,FALSE)</f>
        <v>SUD</v>
      </c>
      <c r="K487">
        <f t="shared" si="7"/>
        <v>96</v>
      </c>
      <c r="L487" t="str">
        <f>_xlfn.IFS(Vendite!F487&lt;'Dati di Supporto'!$O$3,'Dati di Supporto'!$P$2,Vendite!F487&lt;'Dati di Supporto'!$O$4,'Dati di Supporto'!$P$3,Vendite!F487&lt;'Dati di Supporto'!$O$5,'Dati di Supporto'!$P$4,Vendite!F487&lt;'Dati di Supporto'!$O$6,'Dati di Supporto'!$P$5,Vendite!F487&gt;'Dati di Supporto'!$O$6,'Dati di Supporto'!$P$6)</f>
        <v>Fascia 4 (da 1200 €  a meno di 1500 €)</v>
      </c>
      <c r="M487" t="str">
        <f>_xlfn.IFS(G487='Dati di Supporto'!$O$10,'Dati di Supporto'!$P$10,Vendite!G487='Dati di Supporto'!$O$11,'Dati di Supporto'!$P$11,Vendite!G487='Dati di Supporto'!$O$12,'Dati di Supporto'!$P$12,Vendite!G487='Dati di Supporto'!$O$13,'Dati di Supporto'!$P$13,Vendite!G487='Dati di Supporto'!$O$14,'Dati di Supporto'!$P$14)</f>
        <v>Carta di credito</v>
      </c>
    </row>
    <row r="488" spans="1:13" x14ac:dyDescent="0.3">
      <c r="A488" s="11">
        <v>487</v>
      </c>
      <c r="B488" s="6">
        <v>41700</v>
      </c>
      <c r="C488" s="1" t="s">
        <v>1</v>
      </c>
      <c r="D488" s="2" t="s">
        <v>126</v>
      </c>
      <c r="E488" s="2" t="s">
        <v>11</v>
      </c>
      <c r="F488" s="3">
        <v>886</v>
      </c>
      <c r="G488" s="15">
        <v>2</v>
      </c>
      <c r="H488" t="str">
        <f>VLOOKUP(D488,'Dati di Supporto'!$B$2:$C$104,2,FALSE)</f>
        <v>Friuli-Venezia Giulia</v>
      </c>
      <c r="I488" t="str">
        <f>VLOOKUP(D488,'Dati di Supporto'!$B$2:$D$104,3,FALSE)</f>
        <v>TS</v>
      </c>
      <c r="J488" t="str">
        <f>VLOOKUP(H488,'Dati di Supporto'!$G$2:$H$21,2,FALSE)</f>
        <v>NORD</v>
      </c>
      <c r="K488">
        <f t="shared" si="7"/>
        <v>96</v>
      </c>
      <c r="L488" t="str">
        <f>_xlfn.IFS(Vendite!F488&lt;'Dati di Supporto'!$O$3,'Dati di Supporto'!$P$2,Vendite!F488&lt;'Dati di Supporto'!$O$4,'Dati di Supporto'!$P$3,Vendite!F488&lt;'Dati di Supporto'!$O$5,'Dati di Supporto'!$P$4,Vendite!F488&lt;'Dati di Supporto'!$O$6,'Dati di Supporto'!$P$5,Vendite!F488&gt;'Dati di Supporto'!$O$6,'Dati di Supporto'!$P$6)</f>
        <v>Fascia 3 (da 800 €  a meno di 1200 €)</v>
      </c>
      <c r="M488" t="str">
        <f>_xlfn.IFS(G488='Dati di Supporto'!$O$10,'Dati di Supporto'!$P$10,Vendite!G488='Dati di Supporto'!$O$11,'Dati di Supporto'!$P$11,Vendite!G488='Dati di Supporto'!$O$12,'Dati di Supporto'!$P$12,Vendite!G488='Dati di Supporto'!$O$13,'Dati di Supporto'!$P$13,Vendite!G488='Dati di Supporto'!$O$14,'Dati di Supporto'!$P$14)</f>
        <v>Bonifico Bancario</v>
      </c>
    </row>
    <row r="489" spans="1:13" x14ac:dyDescent="0.3">
      <c r="A489" s="11">
        <v>488</v>
      </c>
      <c r="B489" s="6">
        <v>41690</v>
      </c>
      <c r="C489" s="1" t="s">
        <v>3</v>
      </c>
      <c r="D489" s="2" t="s">
        <v>124</v>
      </c>
      <c r="E489" s="2" t="s">
        <v>252</v>
      </c>
      <c r="F489" s="3">
        <v>689</v>
      </c>
      <c r="G489" s="15">
        <v>3</v>
      </c>
      <c r="H489" t="str">
        <f>VLOOKUP(D489,'Dati di Supporto'!$B$2:$C$104,2,FALSE)</f>
        <v>Trentino-Alto Adige</v>
      </c>
      <c r="I489" t="str">
        <f>VLOOKUP(D489,'Dati di Supporto'!$B$2:$D$104,3,FALSE)</f>
        <v>TN</v>
      </c>
      <c r="J489" t="str">
        <f>VLOOKUP(H489,'Dati di Supporto'!$G$2:$H$21,2,FALSE)</f>
        <v>NORD</v>
      </c>
      <c r="K489">
        <f t="shared" si="7"/>
        <v>87</v>
      </c>
      <c r="L489" t="str">
        <f>_xlfn.IFS(Vendite!F489&lt;'Dati di Supporto'!$O$3,'Dati di Supporto'!$P$2,Vendite!F489&lt;'Dati di Supporto'!$O$4,'Dati di Supporto'!$P$3,Vendite!F489&lt;'Dati di Supporto'!$O$5,'Dati di Supporto'!$P$4,Vendite!F489&lt;'Dati di Supporto'!$O$6,'Dati di Supporto'!$P$5,Vendite!F489&gt;'Dati di Supporto'!$O$6,'Dati di Supporto'!$P$6)</f>
        <v>Fascia 2 (da 400 €  a meno di 800 €)</v>
      </c>
      <c r="M489" t="str">
        <f>_xlfn.IFS(G489='Dati di Supporto'!$O$10,'Dati di Supporto'!$P$10,Vendite!G489='Dati di Supporto'!$O$11,'Dati di Supporto'!$P$11,Vendite!G489='Dati di Supporto'!$O$12,'Dati di Supporto'!$P$12,Vendite!G489='Dati di Supporto'!$O$13,'Dati di Supporto'!$P$13,Vendite!G489='Dati di Supporto'!$O$14,'Dati di Supporto'!$P$14)</f>
        <v>Carta di credito</v>
      </c>
    </row>
    <row r="490" spans="1:13" x14ac:dyDescent="0.3">
      <c r="A490" s="11">
        <v>489</v>
      </c>
      <c r="B490" s="6">
        <v>41760</v>
      </c>
      <c r="C490" s="1" t="s">
        <v>3</v>
      </c>
      <c r="D490" s="2" t="s">
        <v>125</v>
      </c>
      <c r="E490" s="2" t="s">
        <v>251</v>
      </c>
      <c r="F490" s="3">
        <v>1880</v>
      </c>
      <c r="G490" s="15">
        <v>1</v>
      </c>
      <c r="H490" t="str">
        <f>VLOOKUP(D490,'Dati di Supporto'!$B$2:$C$104,2,FALSE)</f>
        <v>Veneto</v>
      </c>
      <c r="I490" t="str">
        <f>VLOOKUP(D490,'Dati di Supporto'!$B$2:$D$104,3,FALSE)</f>
        <v>TV</v>
      </c>
      <c r="J490" t="str">
        <f>VLOOKUP(H490,'Dati di Supporto'!$G$2:$H$21,2,FALSE)</f>
        <v>NORD</v>
      </c>
      <c r="K490">
        <f t="shared" si="7"/>
        <v>87</v>
      </c>
      <c r="L490" t="str">
        <f>_xlfn.IFS(Vendite!F490&lt;'Dati di Supporto'!$O$3,'Dati di Supporto'!$P$2,Vendite!F490&lt;'Dati di Supporto'!$O$4,'Dati di Supporto'!$P$3,Vendite!F490&lt;'Dati di Supporto'!$O$5,'Dati di Supporto'!$P$4,Vendite!F490&lt;'Dati di Supporto'!$O$6,'Dati di Supporto'!$P$5,Vendite!F490&gt;'Dati di Supporto'!$O$6,'Dati di Supporto'!$P$6)</f>
        <v>Fascia 5 (da 1500 € e oltre)</v>
      </c>
      <c r="M490" t="str">
        <f>_xlfn.IFS(G490='Dati di Supporto'!$O$10,'Dati di Supporto'!$P$10,Vendite!G490='Dati di Supporto'!$O$11,'Dati di Supporto'!$P$11,Vendite!G490='Dati di Supporto'!$O$12,'Dati di Supporto'!$P$12,Vendite!G490='Dati di Supporto'!$O$13,'Dati di Supporto'!$P$13,Vendite!G490='Dati di Supporto'!$O$14,'Dati di Supporto'!$P$14)</f>
        <v>Contanti</v>
      </c>
    </row>
    <row r="491" spans="1:13" x14ac:dyDescent="0.3">
      <c r="A491" s="11">
        <v>490</v>
      </c>
      <c r="B491" s="6">
        <v>41667</v>
      </c>
      <c r="C491" s="1" t="s">
        <v>3</v>
      </c>
      <c r="D491" s="2" t="s">
        <v>106</v>
      </c>
      <c r="E491" s="2" t="s">
        <v>251</v>
      </c>
      <c r="F491" s="3">
        <v>1357</v>
      </c>
      <c r="G491" s="15">
        <v>4</v>
      </c>
      <c r="H491" t="str">
        <f>VLOOKUP(D491,'Dati di Supporto'!$B$2:$C$104,2,FALSE)</f>
        <v>Toscana</v>
      </c>
      <c r="I491" t="str">
        <f>VLOOKUP(D491,'Dati di Supporto'!$B$2:$D$104,3,FALSE)</f>
        <v>PO</v>
      </c>
      <c r="J491" t="str">
        <f>VLOOKUP(H491,'Dati di Supporto'!$G$2:$H$21,2,FALSE)</f>
        <v>CENTRO</v>
      </c>
      <c r="K491">
        <f t="shared" si="7"/>
        <v>87</v>
      </c>
      <c r="L491" t="str">
        <f>_xlfn.IFS(Vendite!F491&lt;'Dati di Supporto'!$O$3,'Dati di Supporto'!$P$2,Vendite!F491&lt;'Dati di Supporto'!$O$4,'Dati di Supporto'!$P$3,Vendite!F491&lt;'Dati di Supporto'!$O$5,'Dati di Supporto'!$P$4,Vendite!F491&lt;'Dati di Supporto'!$O$6,'Dati di Supporto'!$P$5,Vendite!F491&gt;'Dati di Supporto'!$O$6,'Dati di Supporto'!$P$6)</f>
        <v>Fascia 4 (da 1200 €  a meno di 1500 €)</v>
      </c>
      <c r="M491" t="str">
        <f>_xlfn.IFS(G491='Dati di Supporto'!$O$10,'Dati di Supporto'!$P$10,Vendite!G491='Dati di Supporto'!$O$11,'Dati di Supporto'!$P$11,Vendite!G491='Dati di Supporto'!$O$12,'Dati di Supporto'!$P$12,Vendite!G491='Dati di Supporto'!$O$13,'Dati di Supporto'!$P$13,Vendite!G491='Dati di Supporto'!$O$14,'Dati di Supporto'!$P$14)</f>
        <v>Bollettino postale</v>
      </c>
    </row>
    <row r="492" spans="1:13" x14ac:dyDescent="0.3">
      <c r="A492" s="11">
        <v>491</v>
      </c>
      <c r="B492" s="6">
        <v>41687</v>
      </c>
      <c r="C492" s="1" t="s">
        <v>247</v>
      </c>
      <c r="D492" s="2" t="s">
        <v>109</v>
      </c>
      <c r="E492" s="2" t="s">
        <v>252</v>
      </c>
      <c r="F492" s="3">
        <v>1007</v>
      </c>
      <c r="G492" s="15">
        <v>5</v>
      </c>
      <c r="H492" t="str">
        <f>VLOOKUP(D492,'Dati di Supporto'!$B$2:$C$104,2,FALSE)</f>
        <v>Lazio</v>
      </c>
      <c r="I492" t="str">
        <f>VLOOKUP(D492,'Dati di Supporto'!$B$2:$D$104,3,FALSE)</f>
        <v>RI</v>
      </c>
      <c r="J492" t="str">
        <f>VLOOKUP(H492,'Dati di Supporto'!$G$2:$H$21,2,FALSE)</f>
        <v>CENTRO</v>
      </c>
      <c r="K492">
        <f t="shared" si="7"/>
        <v>83</v>
      </c>
      <c r="L492" t="str">
        <f>_xlfn.IFS(Vendite!F492&lt;'Dati di Supporto'!$O$3,'Dati di Supporto'!$P$2,Vendite!F492&lt;'Dati di Supporto'!$O$4,'Dati di Supporto'!$P$3,Vendite!F492&lt;'Dati di Supporto'!$O$5,'Dati di Supporto'!$P$4,Vendite!F492&lt;'Dati di Supporto'!$O$6,'Dati di Supporto'!$P$5,Vendite!F492&gt;'Dati di Supporto'!$O$6,'Dati di Supporto'!$P$6)</f>
        <v>Fascia 3 (da 800 €  a meno di 1200 €)</v>
      </c>
      <c r="M492" t="str">
        <f>_xlfn.IFS(G492='Dati di Supporto'!$O$10,'Dati di Supporto'!$P$10,Vendite!G492='Dati di Supporto'!$O$11,'Dati di Supporto'!$P$11,Vendite!G492='Dati di Supporto'!$O$12,'Dati di Supporto'!$P$12,Vendite!G492='Dati di Supporto'!$O$13,'Dati di Supporto'!$P$13,Vendite!G492='Dati di Supporto'!$O$14,'Dati di Supporto'!$P$14)</f>
        <v>Assegno Bancario</v>
      </c>
    </row>
    <row r="493" spans="1:13" x14ac:dyDescent="0.3">
      <c r="A493" s="11">
        <v>492</v>
      </c>
      <c r="B493" s="6">
        <v>41684</v>
      </c>
      <c r="C493" s="1" t="s">
        <v>247</v>
      </c>
      <c r="D493" s="2" t="s">
        <v>117</v>
      </c>
      <c r="E493" s="2" t="s">
        <v>251</v>
      </c>
      <c r="F493" s="3">
        <v>1126</v>
      </c>
      <c r="G493" s="15">
        <v>3</v>
      </c>
      <c r="H493" t="str">
        <f>VLOOKUP(D493,'Dati di Supporto'!$B$2:$C$104,2,FALSE)</f>
        <v>Sicilia</v>
      </c>
      <c r="I493" t="str">
        <f>VLOOKUP(D493,'Dati di Supporto'!$B$2:$D$104,3,FALSE)</f>
        <v>SR</v>
      </c>
      <c r="J493" t="str">
        <f>VLOOKUP(H493,'Dati di Supporto'!$G$2:$H$21,2,FALSE)</f>
        <v>ISOLE</v>
      </c>
      <c r="K493">
        <f t="shared" si="7"/>
        <v>83</v>
      </c>
      <c r="L493" t="str">
        <f>_xlfn.IFS(Vendite!F493&lt;'Dati di Supporto'!$O$3,'Dati di Supporto'!$P$2,Vendite!F493&lt;'Dati di Supporto'!$O$4,'Dati di Supporto'!$P$3,Vendite!F493&lt;'Dati di Supporto'!$O$5,'Dati di Supporto'!$P$4,Vendite!F493&lt;'Dati di Supporto'!$O$6,'Dati di Supporto'!$P$5,Vendite!F493&gt;'Dati di Supporto'!$O$6,'Dati di Supporto'!$P$6)</f>
        <v>Fascia 3 (da 800 €  a meno di 1200 €)</v>
      </c>
      <c r="M493" t="str">
        <f>_xlfn.IFS(G493='Dati di Supporto'!$O$10,'Dati di Supporto'!$P$10,Vendite!G493='Dati di Supporto'!$O$11,'Dati di Supporto'!$P$11,Vendite!G493='Dati di Supporto'!$O$12,'Dati di Supporto'!$P$12,Vendite!G493='Dati di Supporto'!$O$13,'Dati di Supporto'!$P$13,Vendite!G493='Dati di Supporto'!$O$14,'Dati di Supporto'!$P$14)</f>
        <v>Carta di credito</v>
      </c>
    </row>
    <row r="494" spans="1:13" x14ac:dyDescent="0.3">
      <c r="A494" s="11">
        <v>493</v>
      </c>
      <c r="B494" s="6">
        <v>41687</v>
      </c>
      <c r="C494" s="1" t="s">
        <v>1</v>
      </c>
      <c r="D494" s="2" t="s">
        <v>112</v>
      </c>
      <c r="E494" s="2" t="s">
        <v>250</v>
      </c>
      <c r="F494" s="3">
        <v>1779</v>
      </c>
      <c r="G494" s="15">
        <v>1</v>
      </c>
      <c r="H494" t="str">
        <f>VLOOKUP(D494,'Dati di Supporto'!$B$2:$C$104,2,FALSE)</f>
        <v>Veneto</v>
      </c>
      <c r="I494" t="str">
        <f>VLOOKUP(D494,'Dati di Supporto'!$B$2:$D$104,3,FALSE)</f>
        <v>RO</v>
      </c>
      <c r="J494" t="str">
        <f>VLOOKUP(H494,'Dati di Supporto'!$G$2:$H$21,2,FALSE)</f>
        <v>NORD</v>
      </c>
      <c r="K494">
        <f t="shared" si="7"/>
        <v>96</v>
      </c>
      <c r="L494" t="str">
        <f>_xlfn.IFS(Vendite!F494&lt;'Dati di Supporto'!$O$3,'Dati di Supporto'!$P$2,Vendite!F494&lt;'Dati di Supporto'!$O$4,'Dati di Supporto'!$P$3,Vendite!F494&lt;'Dati di Supporto'!$O$5,'Dati di Supporto'!$P$4,Vendite!F494&lt;'Dati di Supporto'!$O$6,'Dati di Supporto'!$P$5,Vendite!F494&gt;'Dati di Supporto'!$O$6,'Dati di Supporto'!$P$6)</f>
        <v>Fascia 5 (da 1500 € e oltre)</v>
      </c>
      <c r="M494" t="str">
        <f>_xlfn.IFS(G494='Dati di Supporto'!$O$10,'Dati di Supporto'!$P$10,Vendite!G494='Dati di Supporto'!$O$11,'Dati di Supporto'!$P$11,Vendite!G494='Dati di Supporto'!$O$12,'Dati di Supporto'!$P$12,Vendite!G494='Dati di Supporto'!$O$13,'Dati di Supporto'!$P$13,Vendite!G494='Dati di Supporto'!$O$14,'Dati di Supporto'!$P$14)</f>
        <v>Contanti</v>
      </c>
    </row>
    <row r="495" spans="1:13" x14ac:dyDescent="0.3">
      <c r="A495" s="11">
        <v>494</v>
      </c>
      <c r="B495" s="6">
        <v>41698</v>
      </c>
      <c r="C495" s="1" t="s">
        <v>1</v>
      </c>
      <c r="D495" s="2" t="s">
        <v>111</v>
      </c>
      <c r="E495" s="2" t="s">
        <v>250</v>
      </c>
      <c r="F495" s="3">
        <v>668</v>
      </c>
      <c r="G495" s="15">
        <v>1</v>
      </c>
      <c r="H495" t="str">
        <f>VLOOKUP(D495,'Dati di Supporto'!$B$2:$C$104,2,FALSE)</f>
        <v>Lazio</v>
      </c>
      <c r="I495" t="str">
        <f>VLOOKUP(D495,'Dati di Supporto'!$B$2:$D$104,3,FALSE)</f>
        <v>RM</v>
      </c>
      <c r="J495" t="str">
        <f>VLOOKUP(H495,'Dati di Supporto'!$G$2:$H$21,2,FALSE)</f>
        <v>CENTRO</v>
      </c>
      <c r="K495">
        <f t="shared" si="7"/>
        <v>96</v>
      </c>
      <c r="L495" t="str">
        <f>_xlfn.IFS(Vendite!F495&lt;'Dati di Supporto'!$O$3,'Dati di Supporto'!$P$2,Vendite!F495&lt;'Dati di Supporto'!$O$4,'Dati di Supporto'!$P$3,Vendite!F495&lt;'Dati di Supporto'!$O$5,'Dati di Supporto'!$P$4,Vendite!F495&lt;'Dati di Supporto'!$O$6,'Dati di Supporto'!$P$5,Vendite!F495&gt;'Dati di Supporto'!$O$6,'Dati di Supporto'!$P$6)</f>
        <v>Fascia 2 (da 400 €  a meno di 800 €)</v>
      </c>
      <c r="M495" t="str">
        <f>_xlfn.IFS(G495='Dati di Supporto'!$O$10,'Dati di Supporto'!$P$10,Vendite!G495='Dati di Supporto'!$O$11,'Dati di Supporto'!$P$11,Vendite!G495='Dati di Supporto'!$O$12,'Dati di Supporto'!$P$12,Vendite!G495='Dati di Supporto'!$O$13,'Dati di Supporto'!$P$13,Vendite!G495='Dati di Supporto'!$O$14,'Dati di Supporto'!$P$14)</f>
        <v>Contanti</v>
      </c>
    </row>
    <row r="496" spans="1:13" x14ac:dyDescent="0.3">
      <c r="A496" s="11">
        <v>495</v>
      </c>
      <c r="B496" s="6">
        <v>41672</v>
      </c>
      <c r="C496" s="1" t="s">
        <v>247</v>
      </c>
      <c r="D496" s="2" t="s">
        <v>123</v>
      </c>
      <c r="E496" s="2" t="s">
        <v>10</v>
      </c>
      <c r="F496" s="3">
        <v>204</v>
      </c>
      <c r="G496" s="15">
        <v>1</v>
      </c>
      <c r="H496" t="str">
        <f>VLOOKUP(D496,'Dati di Supporto'!$B$2:$C$104,2,FALSE)</f>
        <v>Sicilia</v>
      </c>
      <c r="I496" t="str">
        <f>VLOOKUP(D496,'Dati di Supporto'!$B$2:$D$104,3,FALSE)</f>
        <v>TP</v>
      </c>
      <c r="J496" t="str">
        <f>VLOOKUP(H496,'Dati di Supporto'!$G$2:$H$21,2,FALSE)</f>
        <v>ISOLE</v>
      </c>
      <c r="K496">
        <f t="shared" si="7"/>
        <v>83</v>
      </c>
      <c r="L496" t="str">
        <f>_xlfn.IFS(Vendite!F496&lt;'Dati di Supporto'!$O$3,'Dati di Supporto'!$P$2,Vendite!F496&lt;'Dati di Supporto'!$O$4,'Dati di Supporto'!$P$3,Vendite!F496&lt;'Dati di Supporto'!$O$5,'Dati di Supporto'!$P$4,Vendite!F496&lt;'Dati di Supporto'!$O$6,'Dati di Supporto'!$P$5,Vendite!F496&gt;'Dati di Supporto'!$O$6,'Dati di Supporto'!$P$6)</f>
        <v>Fascia 1 (inferiore a 400 €)</v>
      </c>
      <c r="M496" t="str">
        <f>_xlfn.IFS(G496='Dati di Supporto'!$O$10,'Dati di Supporto'!$P$10,Vendite!G496='Dati di Supporto'!$O$11,'Dati di Supporto'!$P$11,Vendite!G496='Dati di Supporto'!$O$12,'Dati di Supporto'!$P$12,Vendite!G496='Dati di Supporto'!$O$13,'Dati di Supporto'!$P$13,Vendite!G496='Dati di Supporto'!$O$14,'Dati di Supporto'!$P$14)</f>
        <v>Contanti</v>
      </c>
    </row>
    <row r="497" spans="1:13" x14ac:dyDescent="0.3">
      <c r="A497" s="11">
        <v>496</v>
      </c>
      <c r="B497" s="6">
        <v>41812</v>
      </c>
      <c r="C497" s="1" t="s">
        <v>248</v>
      </c>
      <c r="D497" s="2" t="s">
        <v>105</v>
      </c>
      <c r="E497" s="2" t="s">
        <v>251</v>
      </c>
      <c r="F497" s="3">
        <v>1517</v>
      </c>
      <c r="G497" s="15">
        <v>5</v>
      </c>
      <c r="H497" t="str">
        <f>VLOOKUP(D497,'Dati di Supporto'!$B$2:$C$104,2,FALSE)</f>
        <v>Basilicata</v>
      </c>
      <c r="I497" t="str">
        <f>VLOOKUP(D497,'Dati di Supporto'!$B$2:$D$104,3,FALSE)</f>
        <v>PZ</v>
      </c>
      <c r="J497" t="str">
        <f>VLOOKUP(H497,'Dati di Supporto'!$G$2:$H$21,2,FALSE)</f>
        <v>SUD</v>
      </c>
      <c r="K497">
        <f t="shared" si="7"/>
        <v>80</v>
      </c>
      <c r="L497" t="str">
        <f>_xlfn.IFS(Vendite!F497&lt;'Dati di Supporto'!$O$3,'Dati di Supporto'!$P$2,Vendite!F497&lt;'Dati di Supporto'!$O$4,'Dati di Supporto'!$P$3,Vendite!F497&lt;'Dati di Supporto'!$O$5,'Dati di Supporto'!$P$4,Vendite!F497&lt;'Dati di Supporto'!$O$6,'Dati di Supporto'!$P$5,Vendite!F497&gt;'Dati di Supporto'!$O$6,'Dati di Supporto'!$P$6)</f>
        <v>Fascia 5 (da 1500 € e oltre)</v>
      </c>
      <c r="M497" t="str">
        <f>_xlfn.IFS(G497='Dati di Supporto'!$O$10,'Dati di Supporto'!$P$10,Vendite!G497='Dati di Supporto'!$O$11,'Dati di Supporto'!$P$11,Vendite!G497='Dati di Supporto'!$O$12,'Dati di Supporto'!$P$12,Vendite!G497='Dati di Supporto'!$O$13,'Dati di Supporto'!$P$13,Vendite!G497='Dati di Supporto'!$O$14,'Dati di Supporto'!$P$14)</f>
        <v>Assegno Bancario</v>
      </c>
    </row>
    <row r="498" spans="1:13" x14ac:dyDescent="0.3">
      <c r="A498" s="11">
        <v>497</v>
      </c>
      <c r="B498" s="6">
        <v>41741</v>
      </c>
      <c r="C498" s="1" t="s">
        <v>248</v>
      </c>
      <c r="D498" s="2" t="s">
        <v>115</v>
      </c>
      <c r="E498" s="2" t="s">
        <v>10</v>
      </c>
      <c r="F498" s="3">
        <v>840</v>
      </c>
      <c r="G498" s="15">
        <v>1</v>
      </c>
      <c r="H498" t="str">
        <f>VLOOKUP(D498,'Dati di Supporto'!$B$2:$C$104,2,FALSE)</f>
        <v>Liguria</v>
      </c>
      <c r="I498" t="str">
        <f>VLOOKUP(D498,'Dati di Supporto'!$B$2:$D$104,3,FALSE)</f>
        <v>SV</v>
      </c>
      <c r="J498" t="str">
        <f>VLOOKUP(H498,'Dati di Supporto'!$G$2:$H$21,2,FALSE)</f>
        <v>NORD</v>
      </c>
      <c r="K498">
        <f t="shared" si="7"/>
        <v>80</v>
      </c>
      <c r="L498" t="str">
        <f>_xlfn.IFS(Vendite!F498&lt;'Dati di Supporto'!$O$3,'Dati di Supporto'!$P$2,Vendite!F498&lt;'Dati di Supporto'!$O$4,'Dati di Supporto'!$P$3,Vendite!F498&lt;'Dati di Supporto'!$O$5,'Dati di Supporto'!$P$4,Vendite!F498&lt;'Dati di Supporto'!$O$6,'Dati di Supporto'!$P$5,Vendite!F498&gt;'Dati di Supporto'!$O$6,'Dati di Supporto'!$P$6)</f>
        <v>Fascia 3 (da 800 €  a meno di 1200 €)</v>
      </c>
      <c r="M498" t="str">
        <f>_xlfn.IFS(G498='Dati di Supporto'!$O$10,'Dati di Supporto'!$P$10,Vendite!G498='Dati di Supporto'!$O$11,'Dati di Supporto'!$P$11,Vendite!G498='Dati di Supporto'!$O$12,'Dati di Supporto'!$P$12,Vendite!G498='Dati di Supporto'!$O$13,'Dati di Supporto'!$P$13,Vendite!G498='Dati di Supporto'!$O$14,'Dati di Supporto'!$P$14)</f>
        <v>Contanti</v>
      </c>
    </row>
    <row r="499" spans="1:13" x14ac:dyDescent="0.3">
      <c r="A499" s="11">
        <v>498</v>
      </c>
      <c r="B499" s="6">
        <v>41762</v>
      </c>
      <c r="C499" s="1" t="s">
        <v>3</v>
      </c>
      <c r="D499" s="2" t="s">
        <v>107</v>
      </c>
      <c r="E499" s="2" t="s">
        <v>10</v>
      </c>
      <c r="F499" s="3">
        <v>1724</v>
      </c>
      <c r="G499" s="15">
        <v>1</v>
      </c>
      <c r="H499" t="str">
        <f>VLOOKUP(D499,'Dati di Supporto'!$B$2:$C$104,2,FALSE)</f>
        <v>Sicilia</v>
      </c>
      <c r="I499" t="str">
        <f>VLOOKUP(D499,'Dati di Supporto'!$B$2:$D$104,3,FALSE)</f>
        <v>RG</v>
      </c>
      <c r="J499" t="str">
        <f>VLOOKUP(H499,'Dati di Supporto'!$G$2:$H$21,2,FALSE)</f>
        <v>ISOLE</v>
      </c>
      <c r="K499">
        <f t="shared" si="7"/>
        <v>87</v>
      </c>
      <c r="L499" t="str">
        <f>_xlfn.IFS(Vendite!F499&lt;'Dati di Supporto'!$O$3,'Dati di Supporto'!$P$2,Vendite!F499&lt;'Dati di Supporto'!$O$4,'Dati di Supporto'!$P$3,Vendite!F499&lt;'Dati di Supporto'!$O$5,'Dati di Supporto'!$P$4,Vendite!F499&lt;'Dati di Supporto'!$O$6,'Dati di Supporto'!$P$5,Vendite!F499&gt;'Dati di Supporto'!$O$6,'Dati di Supporto'!$P$6)</f>
        <v>Fascia 5 (da 1500 € e oltre)</v>
      </c>
      <c r="M499" t="str">
        <f>_xlfn.IFS(G499='Dati di Supporto'!$O$10,'Dati di Supporto'!$P$10,Vendite!G499='Dati di Supporto'!$O$11,'Dati di Supporto'!$P$11,Vendite!G499='Dati di Supporto'!$O$12,'Dati di Supporto'!$P$12,Vendite!G499='Dati di Supporto'!$O$13,'Dati di Supporto'!$P$13,Vendite!G499='Dati di Supporto'!$O$14,'Dati di Supporto'!$P$14)</f>
        <v>Contanti</v>
      </c>
    </row>
    <row r="500" spans="1:13" x14ac:dyDescent="0.3">
      <c r="A500" s="11">
        <v>499</v>
      </c>
      <c r="B500" s="6">
        <v>41691</v>
      </c>
      <c r="C500" s="1" t="s">
        <v>1</v>
      </c>
      <c r="D500" s="2" t="s">
        <v>133</v>
      </c>
      <c r="E500" s="2" t="s">
        <v>10</v>
      </c>
      <c r="F500" s="3">
        <v>951</v>
      </c>
      <c r="G500" s="15">
        <v>3</v>
      </c>
      <c r="H500" t="str">
        <f>VLOOKUP(D500,'Dati di Supporto'!$B$2:$C$104,2,FALSE)</f>
        <v>Calabria</v>
      </c>
      <c r="I500" t="str">
        <f>VLOOKUP(D500,'Dati di Supporto'!$B$2:$D$104,3,FALSE)</f>
        <v>VV</v>
      </c>
      <c r="J500" t="str">
        <f>VLOOKUP(H500,'Dati di Supporto'!$G$2:$H$21,2,FALSE)</f>
        <v>SUD</v>
      </c>
      <c r="K500">
        <f t="shared" si="7"/>
        <v>96</v>
      </c>
      <c r="L500" t="str">
        <f>_xlfn.IFS(Vendite!F500&lt;'Dati di Supporto'!$O$3,'Dati di Supporto'!$P$2,Vendite!F500&lt;'Dati di Supporto'!$O$4,'Dati di Supporto'!$P$3,Vendite!F500&lt;'Dati di Supporto'!$O$5,'Dati di Supporto'!$P$4,Vendite!F500&lt;'Dati di Supporto'!$O$6,'Dati di Supporto'!$P$5,Vendite!F500&gt;'Dati di Supporto'!$O$6,'Dati di Supporto'!$P$6)</f>
        <v>Fascia 3 (da 800 €  a meno di 1200 €)</v>
      </c>
      <c r="M500" t="str">
        <f>_xlfn.IFS(G500='Dati di Supporto'!$O$10,'Dati di Supporto'!$P$10,Vendite!G500='Dati di Supporto'!$O$11,'Dati di Supporto'!$P$11,Vendite!G500='Dati di Supporto'!$O$12,'Dati di Supporto'!$P$12,Vendite!G500='Dati di Supporto'!$O$13,'Dati di Supporto'!$P$13,Vendite!G500='Dati di Supporto'!$O$14,'Dati di Supporto'!$P$14)</f>
        <v>Carta di credito</v>
      </c>
    </row>
    <row r="501" spans="1:13" x14ac:dyDescent="0.3">
      <c r="A501" s="11">
        <v>500</v>
      </c>
      <c r="B501" s="6">
        <v>41718</v>
      </c>
      <c r="C501" s="1" t="s">
        <v>2</v>
      </c>
      <c r="D501" s="2" t="s">
        <v>123</v>
      </c>
      <c r="E501" s="2" t="s">
        <v>11</v>
      </c>
      <c r="F501" s="3">
        <v>1892</v>
      </c>
      <c r="G501" s="15">
        <v>4</v>
      </c>
      <c r="H501" t="str">
        <f>VLOOKUP(D501,'Dati di Supporto'!$B$2:$C$104,2,FALSE)</f>
        <v>Sicilia</v>
      </c>
      <c r="I501" t="str">
        <f>VLOOKUP(D501,'Dati di Supporto'!$B$2:$D$104,3,FALSE)</f>
        <v>TP</v>
      </c>
      <c r="J501" t="str">
        <f>VLOOKUP(H501,'Dati di Supporto'!$G$2:$H$21,2,FALSE)</f>
        <v>ISOLE</v>
      </c>
      <c r="K501">
        <f t="shared" si="7"/>
        <v>84</v>
      </c>
      <c r="L501" t="str">
        <f>_xlfn.IFS(Vendite!F501&lt;'Dati di Supporto'!$O$3,'Dati di Supporto'!$P$2,Vendite!F501&lt;'Dati di Supporto'!$O$4,'Dati di Supporto'!$P$3,Vendite!F501&lt;'Dati di Supporto'!$O$5,'Dati di Supporto'!$P$4,Vendite!F501&lt;'Dati di Supporto'!$O$6,'Dati di Supporto'!$P$5,Vendite!F501&gt;'Dati di Supporto'!$O$6,'Dati di Supporto'!$P$6)</f>
        <v>Fascia 5 (da 1500 € e oltre)</v>
      </c>
      <c r="M501" t="str">
        <f>_xlfn.IFS(G501='Dati di Supporto'!$O$10,'Dati di Supporto'!$P$10,Vendite!G501='Dati di Supporto'!$O$11,'Dati di Supporto'!$P$11,Vendite!G501='Dati di Supporto'!$O$12,'Dati di Supporto'!$P$12,Vendite!G501='Dati di Supporto'!$O$13,'Dati di Supporto'!$P$13,Vendite!G501='Dati di Supporto'!$O$14,'Dati di Supporto'!$P$14)</f>
        <v>Bollettino postale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"/>
  <sheetViews>
    <sheetView zoomScaleNormal="100" workbookViewId="0">
      <selection activeCell="D65" sqref="D65"/>
    </sheetView>
  </sheetViews>
  <sheetFormatPr defaultRowHeight="14.4" x14ac:dyDescent="0.3"/>
  <cols>
    <col min="1" max="1" width="4" style="9" customWidth="1"/>
    <col min="2" max="2" width="21" bestFit="1" customWidth="1"/>
    <col min="3" max="3" width="19.21875" bestFit="1" customWidth="1"/>
    <col min="4" max="4" width="6.6640625" bestFit="1" customWidth="1"/>
    <col min="5" max="5" width="1" style="9" customWidth="1"/>
    <col min="6" max="6" width="3" style="9" bestFit="1" customWidth="1"/>
    <col min="7" max="7" width="17.88671875" style="9" bestFit="1" customWidth="1"/>
    <col min="8" max="8" width="8.5546875" style="9" bestFit="1" customWidth="1"/>
    <col min="9" max="9" width="0.88671875" style="9" customWidth="1"/>
    <col min="10" max="10" width="9.109375" style="9"/>
    <col min="11" max="11" width="1" style="9" customWidth="1"/>
    <col min="12" max="12" width="4.5546875" style="9" customWidth="1"/>
    <col min="13" max="13" width="11" style="9" bestFit="1" customWidth="1"/>
    <col min="14" max="14" width="1" style="9" customWidth="1"/>
    <col min="15" max="15" width="9.109375" style="9"/>
    <col min="16" max="16" width="34.21875" style="9" bestFit="1" customWidth="1"/>
    <col min="17" max="17" width="3.5546875" style="9" bestFit="1" customWidth="1"/>
    <col min="18" max="251" width="9.109375" style="9"/>
    <col min="252" max="252" width="19.88671875" style="9" bestFit="1" customWidth="1"/>
    <col min="253" max="253" width="40" style="9" customWidth="1"/>
    <col min="254" max="507" width="9.109375" style="9"/>
    <col min="508" max="508" width="19.88671875" style="9" bestFit="1" customWidth="1"/>
    <col min="509" max="509" width="40" style="9" customWidth="1"/>
    <col min="510" max="763" width="9.109375" style="9"/>
    <col min="764" max="764" width="19.88671875" style="9" bestFit="1" customWidth="1"/>
    <col min="765" max="765" width="40" style="9" customWidth="1"/>
    <col min="766" max="1019" width="9.109375" style="9"/>
    <col min="1020" max="1020" width="19.88671875" style="9" bestFit="1" customWidth="1"/>
    <col min="1021" max="1021" width="40" style="9" customWidth="1"/>
    <col min="1022" max="1275" width="9.109375" style="9"/>
    <col min="1276" max="1276" width="19.88671875" style="9" bestFit="1" customWidth="1"/>
    <col min="1277" max="1277" width="40" style="9" customWidth="1"/>
    <col min="1278" max="1531" width="9.109375" style="9"/>
    <col min="1532" max="1532" width="19.88671875" style="9" bestFit="1" customWidth="1"/>
    <col min="1533" max="1533" width="40" style="9" customWidth="1"/>
    <col min="1534" max="1787" width="9.109375" style="9"/>
    <col min="1788" max="1788" width="19.88671875" style="9" bestFit="1" customWidth="1"/>
    <col min="1789" max="1789" width="40" style="9" customWidth="1"/>
    <col min="1790" max="2043" width="9.109375" style="9"/>
    <col min="2044" max="2044" width="19.88671875" style="9" bestFit="1" customWidth="1"/>
    <col min="2045" max="2045" width="40" style="9" customWidth="1"/>
    <col min="2046" max="2299" width="9.109375" style="9"/>
    <col min="2300" max="2300" width="19.88671875" style="9" bestFit="1" customWidth="1"/>
    <col min="2301" max="2301" width="40" style="9" customWidth="1"/>
    <col min="2302" max="2555" width="9.109375" style="9"/>
    <col min="2556" max="2556" width="19.88671875" style="9" bestFit="1" customWidth="1"/>
    <col min="2557" max="2557" width="40" style="9" customWidth="1"/>
    <col min="2558" max="2811" width="9.109375" style="9"/>
    <col min="2812" max="2812" width="19.88671875" style="9" bestFit="1" customWidth="1"/>
    <col min="2813" max="2813" width="40" style="9" customWidth="1"/>
    <col min="2814" max="3067" width="9.109375" style="9"/>
    <col min="3068" max="3068" width="19.88671875" style="9" bestFit="1" customWidth="1"/>
    <col min="3069" max="3069" width="40" style="9" customWidth="1"/>
    <col min="3070" max="3323" width="9.109375" style="9"/>
    <col min="3324" max="3324" width="19.88671875" style="9" bestFit="1" customWidth="1"/>
    <col min="3325" max="3325" width="40" style="9" customWidth="1"/>
    <col min="3326" max="3579" width="9.109375" style="9"/>
    <col min="3580" max="3580" width="19.88671875" style="9" bestFit="1" customWidth="1"/>
    <col min="3581" max="3581" width="40" style="9" customWidth="1"/>
    <col min="3582" max="3835" width="9.109375" style="9"/>
    <col min="3836" max="3836" width="19.88671875" style="9" bestFit="1" customWidth="1"/>
    <col min="3837" max="3837" width="40" style="9" customWidth="1"/>
    <col min="3838" max="4091" width="9.109375" style="9"/>
    <col min="4092" max="4092" width="19.88671875" style="9" bestFit="1" customWidth="1"/>
    <col min="4093" max="4093" width="40" style="9" customWidth="1"/>
    <col min="4094" max="4347" width="9.109375" style="9"/>
    <col min="4348" max="4348" width="19.88671875" style="9" bestFit="1" customWidth="1"/>
    <col min="4349" max="4349" width="40" style="9" customWidth="1"/>
    <col min="4350" max="4603" width="9.109375" style="9"/>
    <col min="4604" max="4604" width="19.88671875" style="9" bestFit="1" customWidth="1"/>
    <col min="4605" max="4605" width="40" style="9" customWidth="1"/>
    <col min="4606" max="4859" width="9.109375" style="9"/>
    <col min="4860" max="4860" width="19.88671875" style="9" bestFit="1" customWidth="1"/>
    <col min="4861" max="4861" width="40" style="9" customWidth="1"/>
    <col min="4862" max="5115" width="9.109375" style="9"/>
    <col min="5116" max="5116" width="19.88671875" style="9" bestFit="1" customWidth="1"/>
    <col min="5117" max="5117" width="40" style="9" customWidth="1"/>
    <col min="5118" max="5371" width="9.109375" style="9"/>
    <col min="5372" max="5372" width="19.88671875" style="9" bestFit="1" customWidth="1"/>
    <col min="5373" max="5373" width="40" style="9" customWidth="1"/>
    <col min="5374" max="5627" width="9.109375" style="9"/>
    <col min="5628" max="5628" width="19.88671875" style="9" bestFit="1" customWidth="1"/>
    <col min="5629" max="5629" width="40" style="9" customWidth="1"/>
    <col min="5630" max="5883" width="9.109375" style="9"/>
    <col min="5884" max="5884" width="19.88671875" style="9" bestFit="1" customWidth="1"/>
    <col min="5885" max="5885" width="40" style="9" customWidth="1"/>
    <col min="5886" max="6139" width="9.109375" style="9"/>
    <col min="6140" max="6140" width="19.88671875" style="9" bestFit="1" customWidth="1"/>
    <col min="6141" max="6141" width="40" style="9" customWidth="1"/>
    <col min="6142" max="6395" width="9.109375" style="9"/>
    <col min="6396" max="6396" width="19.88671875" style="9" bestFit="1" customWidth="1"/>
    <col min="6397" max="6397" width="40" style="9" customWidth="1"/>
    <col min="6398" max="6651" width="9.109375" style="9"/>
    <col min="6652" max="6652" width="19.88671875" style="9" bestFit="1" customWidth="1"/>
    <col min="6653" max="6653" width="40" style="9" customWidth="1"/>
    <col min="6654" max="6907" width="9.109375" style="9"/>
    <col min="6908" max="6908" width="19.88671875" style="9" bestFit="1" customWidth="1"/>
    <col min="6909" max="6909" width="40" style="9" customWidth="1"/>
    <col min="6910" max="7163" width="9.109375" style="9"/>
    <col min="7164" max="7164" width="19.88671875" style="9" bestFit="1" customWidth="1"/>
    <col min="7165" max="7165" width="40" style="9" customWidth="1"/>
    <col min="7166" max="7419" width="9.109375" style="9"/>
    <col min="7420" max="7420" width="19.88671875" style="9" bestFit="1" customWidth="1"/>
    <col min="7421" max="7421" width="40" style="9" customWidth="1"/>
    <col min="7422" max="7675" width="9.109375" style="9"/>
    <col min="7676" max="7676" width="19.88671875" style="9" bestFit="1" customWidth="1"/>
    <col min="7677" max="7677" width="40" style="9" customWidth="1"/>
    <col min="7678" max="7931" width="9.109375" style="9"/>
    <col min="7932" max="7932" width="19.88671875" style="9" bestFit="1" customWidth="1"/>
    <col min="7933" max="7933" width="40" style="9" customWidth="1"/>
    <col min="7934" max="8187" width="9.109375" style="9"/>
    <col min="8188" max="8188" width="19.88671875" style="9" bestFit="1" customWidth="1"/>
    <col min="8189" max="8189" width="40" style="9" customWidth="1"/>
    <col min="8190" max="8443" width="9.109375" style="9"/>
    <col min="8444" max="8444" width="19.88671875" style="9" bestFit="1" customWidth="1"/>
    <col min="8445" max="8445" width="40" style="9" customWidth="1"/>
    <col min="8446" max="8699" width="9.109375" style="9"/>
    <col min="8700" max="8700" width="19.88671875" style="9" bestFit="1" customWidth="1"/>
    <col min="8701" max="8701" width="40" style="9" customWidth="1"/>
    <col min="8702" max="8955" width="9.109375" style="9"/>
    <col min="8956" max="8956" width="19.88671875" style="9" bestFit="1" customWidth="1"/>
    <col min="8957" max="8957" width="40" style="9" customWidth="1"/>
    <col min="8958" max="9211" width="9.109375" style="9"/>
    <col min="9212" max="9212" width="19.88671875" style="9" bestFit="1" customWidth="1"/>
    <col min="9213" max="9213" width="40" style="9" customWidth="1"/>
    <col min="9214" max="9467" width="9.109375" style="9"/>
    <col min="9468" max="9468" width="19.88671875" style="9" bestFit="1" customWidth="1"/>
    <col min="9469" max="9469" width="40" style="9" customWidth="1"/>
    <col min="9470" max="9723" width="9.109375" style="9"/>
    <col min="9724" max="9724" width="19.88671875" style="9" bestFit="1" customWidth="1"/>
    <col min="9725" max="9725" width="40" style="9" customWidth="1"/>
    <col min="9726" max="9979" width="9.109375" style="9"/>
    <col min="9980" max="9980" width="19.88671875" style="9" bestFit="1" customWidth="1"/>
    <col min="9981" max="9981" width="40" style="9" customWidth="1"/>
    <col min="9982" max="10235" width="9.109375" style="9"/>
    <col min="10236" max="10236" width="19.88671875" style="9" bestFit="1" customWidth="1"/>
    <col min="10237" max="10237" width="40" style="9" customWidth="1"/>
    <col min="10238" max="10491" width="9.109375" style="9"/>
    <col min="10492" max="10492" width="19.88671875" style="9" bestFit="1" customWidth="1"/>
    <col min="10493" max="10493" width="40" style="9" customWidth="1"/>
    <col min="10494" max="10747" width="9.109375" style="9"/>
    <col min="10748" max="10748" width="19.88671875" style="9" bestFit="1" customWidth="1"/>
    <col min="10749" max="10749" width="40" style="9" customWidth="1"/>
    <col min="10750" max="11003" width="9.109375" style="9"/>
    <col min="11004" max="11004" width="19.88671875" style="9" bestFit="1" customWidth="1"/>
    <col min="11005" max="11005" width="40" style="9" customWidth="1"/>
    <col min="11006" max="11259" width="9.109375" style="9"/>
    <col min="11260" max="11260" width="19.88671875" style="9" bestFit="1" customWidth="1"/>
    <col min="11261" max="11261" width="40" style="9" customWidth="1"/>
    <col min="11262" max="11515" width="9.109375" style="9"/>
    <col min="11516" max="11516" width="19.88671875" style="9" bestFit="1" customWidth="1"/>
    <col min="11517" max="11517" width="40" style="9" customWidth="1"/>
    <col min="11518" max="11771" width="9.109375" style="9"/>
    <col min="11772" max="11772" width="19.88671875" style="9" bestFit="1" customWidth="1"/>
    <col min="11773" max="11773" width="40" style="9" customWidth="1"/>
    <col min="11774" max="12027" width="9.109375" style="9"/>
    <col min="12028" max="12028" width="19.88671875" style="9" bestFit="1" customWidth="1"/>
    <col min="12029" max="12029" width="40" style="9" customWidth="1"/>
    <col min="12030" max="12283" width="9.109375" style="9"/>
    <col min="12284" max="12284" width="19.88671875" style="9" bestFit="1" customWidth="1"/>
    <col min="12285" max="12285" width="40" style="9" customWidth="1"/>
    <col min="12286" max="12539" width="9.109375" style="9"/>
    <col min="12540" max="12540" width="19.88671875" style="9" bestFit="1" customWidth="1"/>
    <col min="12541" max="12541" width="40" style="9" customWidth="1"/>
    <col min="12542" max="12795" width="9.109375" style="9"/>
    <col min="12796" max="12796" width="19.88671875" style="9" bestFit="1" customWidth="1"/>
    <col min="12797" max="12797" width="40" style="9" customWidth="1"/>
    <col min="12798" max="13051" width="9.109375" style="9"/>
    <col min="13052" max="13052" width="19.88671875" style="9" bestFit="1" customWidth="1"/>
    <col min="13053" max="13053" width="40" style="9" customWidth="1"/>
    <col min="13054" max="13307" width="9.109375" style="9"/>
    <col min="13308" max="13308" width="19.88671875" style="9" bestFit="1" customWidth="1"/>
    <col min="13309" max="13309" width="40" style="9" customWidth="1"/>
    <col min="13310" max="13563" width="9.109375" style="9"/>
    <col min="13564" max="13564" width="19.88671875" style="9" bestFit="1" customWidth="1"/>
    <col min="13565" max="13565" width="40" style="9" customWidth="1"/>
    <col min="13566" max="13819" width="9.109375" style="9"/>
    <col min="13820" max="13820" width="19.88671875" style="9" bestFit="1" customWidth="1"/>
    <col min="13821" max="13821" width="40" style="9" customWidth="1"/>
    <col min="13822" max="14075" width="9.109375" style="9"/>
    <col min="14076" max="14076" width="19.88671875" style="9" bestFit="1" customWidth="1"/>
    <col min="14077" max="14077" width="40" style="9" customWidth="1"/>
    <col min="14078" max="14331" width="9.109375" style="9"/>
    <col min="14332" max="14332" width="19.88671875" style="9" bestFit="1" customWidth="1"/>
    <col min="14333" max="14333" width="40" style="9" customWidth="1"/>
    <col min="14334" max="14587" width="9.109375" style="9"/>
    <col min="14588" max="14588" width="19.88671875" style="9" bestFit="1" customWidth="1"/>
    <col min="14589" max="14589" width="40" style="9" customWidth="1"/>
    <col min="14590" max="14843" width="9.109375" style="9"/>
    <col min="14844" max="14844" width="19.88671875" style="9" bestFit="1" customWidth="1"/>
    <col min="14845" max="14845" width="40" style="9" customWidth="1"/>
    <col min="14846" max="15099" width="9.109375" style="9"/>
    <col min="15100" max="15100" width="19.88671875" style="9" bestFit="1" customWidth="1"/>
    <col min="15101" max="15101" width="40" style="9" customWidth="1"/>
    <col min="15102" max="15355" width="9.109375" style="9"/>
    <col min="15356" max="15356" width="19.88671875" style="9" bestFit="1" customWidth="1"/>
    <col min="15357" max="15357" width="40" style="9" customWidth="1"/>
    <col min="15358" max="15611" width="9.109375" style="9"/>
    <col min="15612" max="15612" width="19.88671875" style="9" bestFit="1" customWidth="1"/>
    <col min="15613" max="15613" width="40" style="9" customWidth="1"/>
    <col min="15614" max="15867" width="9.109375" style="9"/>
    <col min="15868" max="15868" width="19.88671875" style="9" bestFit="1" customWidth="1"/>
    <col min="15869" max="15869" width="40" style="9" customWidth="1"/>
    <col min="15870" max="16123" width="9.109375" style="9"/>
    <col min="16124" max="16124" width="19.88671875" style="9" bestFit="1" customWidth="1"/>
    <col min="16125" max="16125" width="40" style="9" customWidth="1"/>
    <col min="16126" max="16384" width="9.109375" style="9"/>
  </cols>
  <sheetData>
    <row r="1" spans="1:17" ht="13.2" x14ac:dyDescent="0.25">
      <c r="A1" s="8" t="s">
        <v>245</v>
      </c>
      <c r="B1" s="8" t="s">
        <v>243</v>
      </c>
      <c r="C1" s="8" t="s">
        <v>12</v>
      </c>
      <c r="D1" s="8" t="s">
        <v>242</v>
      </c>
      <c r="F1" s="8" t="s">
        <v>245</v>
      </c>
      <c r="G1" s="8" t="s">
        <v>12</v>
      </c>
      <c r="H1" s="8" t="s">
        <v>13</v>
      </c>
      <c r="J1" s="8" t="s">
        <v>13</v>
      </c>
      <c r="L1" s="8" t="s">
        <v>245</v>
      </c>
      <c r="M1" s="8" t="s">
        <v>246</v>
      </c>
      <c r="O1" s="8" t="s">
        <v>255</v>
      </c>
      <c r="P1" s="8" t="s">
        <v>254</v>
      </c>
      <c r="Q1" s="8" t="s">
        <v>256</v>
      </c>
    </row>
    <row r="2" spans="1:17" x14ac:dyDescent="0.3">
      <c r="A2" s="10">
        <v>1</v>
      </c>
      <c r="B2" s="11" t="s">
        <v>36</v>
      </c>
      <c r="C2" s="11" t="s">
        <v>31</v>
      </c>
      <c r="D2" s="11" t="s">
        <v>136</v>
      </c>
      <c r="F2" s="10">
        <v>1</v>
      </c>
      <c r="G2" s="10" t="s">
        <v>14</v>
      </c>
      <c r="H2" s="10" t="s">
        <v>15</v>
      </c>
      <c r="J2" s="10" t="s">
        <v>16</v>
      </c>
      <c r="L2" s="12">
        <v>1</v>
      </c>
      <c r="M2" s="10" t="s">
        <v>3</v>
      </c>
      <c r="O2" s="10">
        <v>0</v>
      </c>
      <c r="P2" s="10" t="str">
        <f>"Fascia " &amp; Q2 &amp; " (inferiore a "&amp; O3 &amp; " €)"</f>
        <v>Fascia 1 (inferiore a 400 €)</v>
      </c>
      <c r="Q2" s="10">
        <v>1</v>
      </c>
    </row>
    <row r="3" spans="1:17" x14ac:dyDescent="0.3">
      <c r="A3" s="10">
        <v>2</v>
      </c>
      <c r="B3" s="11" t="s">
        <v>37</v>
      </c>
      <c r="C3" s="11" t="s">
        <v>32</v>
      </c>
      <c r="D3" s="11" t="s">
        <v>137</v>
      </c>
      <c r="F3" s="10">
        <v>2</v>
      </c>
      <c r="G3" s="10" t="s">
        <v>17</v>
      </c>
      <c r="H3" s="10" t="s">
        <v>18</v>
      </c>
      <c r="J3" s="10" t="s">
        <v>15</v>
      </c>
      <c r="L3" s="12">
        <v>2</v>
      </c>
      <c r="M3" s="10" t="s">
        <v>8</v>
      </c>
      <c r="O3" s="10">
        <v>400</v>
      </c>
      <c r="P3" s="10" t="str">
        <f>"Fascia " &amp; Q3 &amp; " (da "&amp; O3 &amp;" €  a meno di "&amp; O4 &amp; " €)"</f>
        <v>Fascia 2 (da 400 €  a meno di 800 €)</v>
      </c>
      <c r="Q3" s="10">
        <v>2</v>
      </c>
    </row>
    <row r="4" spans="1:17" x14ac:dyDescent="0.3">
      <c r="A4" s="10">
        <v>3</v>
      </c>
      <c r="B4" s="11" t="s">
        <v>38</v>
      </c>
      <c r="C4" s="11" t="s">
        <v>21</v>
      </c>
      <c r="D4" s="11" t="s">
        <v>138</v>
      </c>
      <c r="F4" s="10">
        <v>3</v>
      </c>
      <c r="G4" s="10" t="s">
        <v>20</v>
      </c>
      <c r="H4" s="10" t="s">
        <v>18</v>
      </c>
      <c r="J4" s="10" t="s">
        <v>18</v>
      </c>
      <c r="L4" s="12">
        <v>3</v>
      </c>
      <c r="M4" s="10" t="s">
        <v>1</v>
      </c>
      <c r="O4" s="10">
        <v>800</v>
      </c>
      <c r="P4" s="10" t="str">
        <f t="shared" ref="P4:P5" si="0">"Fascia " &amp; Q4 &amp; " (da "&amp; O4 &amp;" €  a meno di "&amp; O5 &amp; " €)"</f>
        <v>Fascia 3 (da 800 €  a meno di 1200 €)</v>
      </c>
      <c r="Q4" s="10">
        <v>3</v>
      </c>
    </row>
    <row r="5" spans="1:17" x14ac:dyDescent="0.3">
      <c r="A5" s="10">
        <v>4</v>
      </c>
      <c r="B5" s="11" t="s">
        <v>39</v>
      </c>
      <c r="C5" s="11" t="s">
        <v>35</v>
      </c>
      <c r="D5" s="11" t="s">
        <v>139</v>
      </c>
      <c r="F5" s="10">
        <v>4</v>
      </c>
      <c r="G5" s="10" t="s">
        <v>22</v>
      </c>
      <c r="H5" s="10" t="s">
        <v>18</v>
      </c>
      <c r="J5" s="10" t="s">
        <v>23</v>
      </c>
      <c r="L5" s="12">
        <v>4</v>
      </c>
      <c r="M5" s="10" t="s">
        <v>247</v>
      </c>
      <c r="O5" s="10">
        <v>1200</v>
      </c>
      <c r="P5" s="10" t="str">
        <f t="shared" si="0"/>
        <v>Fascia 4 (da 1200 €  a meno di 1500 €)</v>
      </c>
      <c r="Q5" s="10">
        <v>4</v>
      </c>
    </row>
    <row r="6" spans="1:17" x14ac:dyDescent="0.3">
      <c r="A6" s="10">
        <v>5</v>
      </c>
      <c r="B6" s="11" t="s">
        <v>40</v>
      </c>
      <c r="C6" s="11" t="s">
        <v>26</v>
      </c>
      <c r="D6" s="11" t="s">
        <v>140</v>
      </c>
      <c r="F6" s="10">
        <v>5</v>
      </c>
      <c r="G6" s="10" t="s">
        <v>25</v>
      </c>
      <c r="H6" s="10" t="s">
        <v>16</v>
      </c>
      <c r="L6" s="12">
        <v>5</v>
      </c>
      <c r="M6" s="10" t="s">
        <v>248</v>
      </c>
      <c r="O6" s="10">
        <v>1500</v>
      </c>
      <c r="P6" s="10" t="str">
        <f>"Fascia " &amp; Q6 &amp; " (da "&amp;O6 &amp; " € e oltre)"</f>
        <v>Fascia 5 (da 1500 € e oltre)</v>
      </c>
      <c r="Q6" s="10">
        <v>5</v>
      </c>
    </row>
    <row r="7" spans="1:17" x14ac:dyDescent="0.3">
      <c r="A7" s="10">
        <v>6</v>
      </c>
      <c r="B7" s="11" t="s">
        <v>41</v>
      </c>
      <c r="C7" s="11" t="s">
        <v>21</v>
      </c>
      <c r="D7" s="11" t="s">
        <v>141</v>
      </c>
      <c r="F7" s="10">
        <v>6</v>
      </c>
      <c r="G7" s="10" t="s">
        <v>27</v>
      </c>
      <c r="H7" s="10" t="s">
        <v>16</v>
      </c>
      <c r="L7" s="12">
        <v>6</v>
      </c>
      <c r="M7" s="10" t="s">
        <v>2</v>
      </c>
    </row>
    <row r="8" spans="1:17" x14ac:dyDescent="0.3">
      <c r="A8" s="10">
        <v>7</v>
      </c>
      <c r="B8" s="11" t="s">
        <v>42</v>
      </c>
      <c r="C8" s="11" t="s">
        <v>32</v>
      </c>
      <c r="D8" s="11" t="s">
        <v>142</v>
      </c>
      <c r="F8" s="10">
        <v>7</v>
      </c>
      <c r="G8" s="10" t="s">
        <v>19</v>
      </c>
      <c r="H8" s="10" t="s">
        <v>15</v>
      </c>
    </row>
    <row r="9" spans="1:17" x14ac:dyDescent="0.3">
      <c r="A9" s="10">
        <v>8</v>
      </c>
      <c r="B9" s="11" t="s">
        <v>43</v>
      </c>
      <c r="C9" s="11" t="s">
        <v>22</v>
      </c>
      <c r="D9" s="11" t="s">
        <v>143</v>
      </c>
      <c r="F9" s="10">
        <v>8</v>
      </c>
      <c r="G9" s="10" t="s">
        <v>30</v>
      </c>
      <c r="H9" s="10" t="s">
        <v>16</v>
      </c>
      <c r="L9" s="8" t="s">
        <v>245</v>
      </c>
      <c r="M9" s="8" t="s">
        <v>249</v>
      </c>
      <c r="O9" s="8" t="s">
        <v>245</v>
      </c>
      <c r="P9" s="8" t="s">
        <v>257</v>
      </c>
    </row>
    <row r="10" spans="1:17" x14ac:dyDescent="0.3">
      <c r="A10" s="10">
        <v>9</v>
      </c>
      <c r="B10" s="11" t="s">
        <v>44</v>
      </c>
      <c r="C10" s="11" t="s">
        <v>33</v>
      </c>
      <c r="D10" s="11" t="s">
        <v>144</v>
      </c>
      <c r="F10" s="10">
        <v>9</v>
      </c>
      <c r="G10" s="10" t="s">
        <v>5</v>
      </c>
      <c r="H10" s="10" t="s">
        <v>16</v>
      </c>
      <c r="L10" s="12">
        <v>1</v>
      </c>
      <c r="M10" s="10" t="s">
        <v>11</v>
      </c>
      <c r="O10" s="10">
        <v>1</v>
      </c>
      <c r="P10" s="10" t="s">
        <v>258</v>
      </c>
    </row>
    <row r="11" spans="1:17" x14ac:dyDescent="0.3">
      <c r="A11" s="10">
        <v>10</v>
      </c>
      <c r="B11" s="11" t="s">
        <v>45</v>
      </c>
      <c r="C11" s="11" t="s">
        <v>4</v>
      </c>
      <c r="D11" s="11" t="s">
        <v>145</v>
      </c>
      <c r="F11" s="10">
        <v>10</v>
      </c>
      <c r="G11" s="10" t="s">
        <v>21</v>
      </c>
      <c r="H11" s="10" t="s">
        <v>15</v>
      </c>
      <c r="L11" s="12">
        <v>2</v>
      </c>
      <c r="M11" s="10" t="s">
        <v>10</v>
      </c>
      <c r="O11" s="10">
        <v>2</v>
      </c>
      <c r="P11" s="10" t="s">
        <v>259</v>
      </c>
    </row>
    <row r="12" spans="1:17" x14ac:dyDescent="0.3">
      <c r="A12" s="10">
        <v>11</v>
      </c>
      <c r="B12" s="11" t="s">
        <v>46</v>
      </c>
      <c r="C12" s="11" t="s">
        <v>22</v>
      </c>
      <c r="D12" s="11" t="s">
        <v>146</v>
      </c>
      <c r="F12" s="10">
        <v>11</v>
      </c>
      <c r="G12" s="10" t="s">
        <v>24</v>
      </c>
      <c r="H12" s="10" t="s">
        <v>15</v>
      </c>
      <c r="L12" s="12">
        <v>3</v>
      </c>
      <c r="M12" s="10" t="s">
        <v>250</v>
      </c>
      <c r="O12" s="10">
        <v>3</v>
      </c>
      <c r="P12" s="10" t="s">
        <v>260</v>
      </c>
    </row>
    <row r="13" spans="1:17" x14ac:dyDescent="0.3">
      <c r="A13" s="10">
        <v>12</v>
      </c>
      <c r="B13" s="11" t="s">
        <v>47</v>
      </c>
      <c r="C13" s="11" t="s">
        <v>5</v>
      </c>
      <c r="D13" s="11" t="s">
        <v>147</v>
      </c>
      <c r="F13" s="10">
        <v>12</v>
      </c>
      <c r="G13" s="10" t="s">
        <v>32</v>
      </c>
      <c r="H13" s="10" t="s">
        <v>16</v>
      </c>
      <c r="L13" s="12">
        <v>4</v>
      </c>
      <c r="M13" s="10" t="s">
        <v>251</v>
      </c>
      <c r="O13" s="10">
        <v>4</v>
      </c>
      <c r="P13" s="10" t="s">
        <v>261</v>
      </c>
    </row>
    <row r="14" spans="1:17" x14ac:dyDescent="0.3">
      <c r="A14" s="10">
        <v>13</v>
      </c>
      <c r="B14" s="11" t="s">
        <v>48</v>
      </c>
      <c r="C14" s="11" t="s">
        <v>32</v>
      </c>
      <c r="D14" s="11" t="s">
        <v>148</v>
      </c>
      <c r="F14" s="10">
        <v>13</v>
      </c>
      <c r="G14" s="10" t="s">
        <v>33</v>
      </c>
      <c r="H14" s="10" t="s">
        <v>18</v>
      </c>
      <c r="L14" s="12">
        <v>5</v>
      </c>
      <c r="M14" s="10" t="s">
        <v>252</v>
      </c>
      <c r="O14" s="10">
        <v>5</v>
      </c>
      <c r="P14" s="10" t="s">
        <v>262</v>
      </c>
    </row>
    <row r="15" spans="1:17" x14ac:dyDescent="0.3">
      <c r="A15" s="10">
        <v>14</v>
      </c>
      <c r="B15" s="11" t="s">
        <v>49</v>
      </c>
      <c r="C15" s="11" t="s">
        <v>25</v>
      </c>
      <c r="D15" s="11" t="s">
        <v>149</v>
      </c>
      <c r="F15" s="10">
        <v>14</v>
      </c>
      <c r="G15" s="10" t="s">
        <v>29</v>
      </c>
      <c r="H15" s="10" t="s">
        <v>23</v>
      </c>
    </row>
    <row r="16" spans="1:17" x14ac:dyDescent="0.3">
      <c r="A16" s="10">
        <v>15</v>
      </c>
      <c r="B16" s="11" t="s">
        <v>50</v>
      </c>
      <c r="C16" s="11" t="s">
        <v>34</v>
      </c>
      <c r="D16" s="11" t="s">
        <v>150</v>
      </c>
      <c r="F16" s="10">
        <v>15</v>
      </c>
      <c r="G16" s="10" t="s">
        <v>31</v>
      </c>
      <c r="H16" s="10" t="s">
        <v>23</v>
      </c>
      <c r="L16" s="13"/>
    </row>
    <row r="17" spans="1:8" x14ac:dyDescent="0.3">
      <c r="A17" s="10">
        <v>16</v>
      </c>
      <c r="B17" s="11" t="s">
        <v>51</v>
      </c>
      <c r="C17" s="11" t="s">
        <v>5</v>
      </c>
      <c r="D17" s="11" t="s">
        <v>151</v>
      </c>
      <c r="F17" s="10">
        <v>16</v>
      </c>
      <c r="G17" s="10" t="s">
        <v>26</v>
      </c>
      <c r="H17" s="10" t="s">
        <v>15</v>
      </c>
    </row>
    <row r="18" spans="1:8" x14ac:dyDescent="0.3">
      <c r="A18" s="10">
        <v>17</v>
      </c>
      <c r="B18" s="11" t="s">
        <v>52</v>
      </c>
      <c r="C18" s="11" t="s">
        <v>33</v>
      </c>
      <c r="D18" s="11" t="s">
        <v>152</v>
      </c>
      <c r="F18" s="10">
        <v>17</v>
      </c>
      <c r="G18" s="10" t="s">
        <v>34</v>
      </c>
      <c r="H18" s="10" t="s">
        <v>16</v>
      </c>
    </row>
    <row r="19" spans="1:8" x14ac:dyDescent="0.3">
      <c r="A19" s="10">
        <v>18</v>
      </c>
      <c r="B19" s="11" t="s">
        <v>53</v>
      </c>
      <c r="C19" s="11" t="s">
        <v>29</v>
      </c>
      <c r="D19" s="11" t="s">
        <v>153</v>
      </c>
      <c r="F19" s="10">
        <v>18</v>
      </c>
      <c r="G19" s="10" t="s">
        <v>28</v>
      </c>
      <c r="H19" s="10" t="s">
        <v>15</v>
      </c>
    </row>
    <row r="20" spans="1:8" x14ac:dyDescent="0.3">
      <c r="A20" s="10">
        <v>19</v>
      </c>
      <c r="B20" s="11" t="s">
        <v>54</v>
      </c>
      <c r="C20" s="11" t="s">
        <v>31</v>
      </c>
      <c r="D20" s="11" t="s">
        <v>154</v>
      </c>
      <c r="F20" s="10">
        <v>19</v>
      </c>
      <c r="G20" s="10" t="s">
        <v>35</v>
      </c>
      <c r="H20" s="10" t="s">
        <v>16</v>
      </c>
    </row>
    <row r="21" spans="1:8" x14ac:dyDescent="0.3">
      <c r="A21" s="10">
        <v>20</v>
      </c>
      <c r="B21" s="11" t="s">
        <v>55</v>
      </c>
      <c r="C21" s="11" t="s">
        <v>24</v>
      </c>
      <c r="D21" s="11" t="s">
        <v>155</v>
      </c>
      <c r="F21" s="10">
        <v>20</v>
      </c>
      <c r="G21" s="10" t="s">
        <v>4</v>
      </c>
      <c r="H21" s="10" t="s">
        <v>16</v>
      </c>
    </row>
    <row r="22" spans="1:8" x14ac:dyDescent="0.3">
      <c r="A22" s="10">
        <v>21</v>
      </c>
      <c r="B22" s="11" t="s">
        <v>56</v>
      </c>
      <c r="C22" s="11" t="s">
        <v>22</v>
      </c>
      <c r="D22" s="11" t="s">
        <v>156</v>
      </c>
    </row>
    <row r="23" spans="1:8" x14ac:dyDescent="0.3">
      <c r="A23" s="10">
        <v>22</v>
      </c>
      <c r="B23" s="11" t="s">
        <v>57</v>
      </c>
      <c r="C23" s="11" t="s">
        <v>31</v>
      </c>
      <c r="D23" s="11" t="s">
        <v>157</v>
      </c>
    </row>
    <row r="24" spans="1:8" x14ac:dyDescent="0.3">
      <c r="A24" s="10">
        <v>23</v>
      </c>
      <c r="B24" s="11" t="s">
        <v>58</v>
      </c>
      <c r="C24" s="11" t="s">
        <v>20</v>
      </c>
      <c r="D24" s="11" t="s">
        <v>158</v>
      </c>
    </row>
    <row r="25" spans="1:8" x14ac:dyDescent="0.3">
      <c r="A25" s="10">
        <v>24</v>
      </c>
      <c r="B25" s="11" t="s">
        <v>59</v>
      </c>
      <c r="C25" s="11" t="s">
        <v>14</v>
      </c>
      <c r="D25" s="11" t="s">
        <v>159</v>
      </c>
    </row>
    <row r="26" spans="1:8" x14ac:dyDescent="0.3">
      <c r="A26" s="10">
        <v>25</v>
      </c>
      <c r="B26" s="11" t="s">
        <v>60</v>
      </c>
      <c r="C26" s="11" t="s">
        <v>5</v>
      </c>
      <c r="D26" s="11" t="s">
        <v>160</v>
      </c>
    </row>
    <row r="27" spans="1:8" x14ac:dyDescent="0.3">
      <c r="A27" s="10">
        <v>26</v>
      </c>
      <c r="B27" s="11" t="s">
        <v>61</v>
      </c>
      <c r="C27" s="11" t="s">
        <v>20</v>
      </c>
      <c r="D27" s="11" t="s">
        <v>161</v>
      </c>
    </row>
    <row r="28" spans="1:8" x14ac:dyDescent="0.3">
      <c r="A28" s="10">
        <v>27</v>
      </c>
      <c r="B28" s="11" t="s">
        <v>62</v>
      </c>
      <c r="C28" s="11" t="s">
        <v>5</v>
      </c>
      <c r="D28" s="11" t="s">
        <v>162</v>
      </c>
    </row>
    <row r="29" spans="1:8" x14ac:dyDescent="0.3">
      <c r="A29" s="10">
        <v>28</v>
      </c>
      <c r="B29" s="11" t="s">
        <v>63</v>
      </c>
      <c r="C29" s="11" t="s">
        <v>20</v>
      </c>
      <c r="D29" s="11" t="s">
        <v>163</v>
      </c>
    </row>
    <row r="30" spans="1:8" x14ac:dyDescent="0.3">
      <c r="A30" s="10">
        <v>29</v>
      </c>
      <c r="B30" s="11" t="s">
        <v>64</v>
      </c>
      <c r="C30" s="11" t="s">
        <v>32</v>
      </c>
      <c r="D30" s="11" t="s">
        <v>164</v>
      </c>
    </row>
    <row r="31" spans="1:8" x14ac:dyDescent="0.3">
      <c r="A31" s="10">
        <v>30</v>
      </c>
      <c r="B31" s="11" t="s">
        <v>65</v>
      </c>
      <c r="C31" s="11" t="s">
        <v>31</v>
      </c>
      <c r="D31" s="11" t="s">
        <v>165</v>
      </c>
    </row>
    <row r="32" spans="1:8" x14ac:dyDescent="0.3">
      <c r="A32" s="10">
        <v>31</v>
      </c>
      <c r="B32" s="11" t="s">
        <v>66</v>
      </c>
      <c r="C32" s="11" t="s">
        <v>25</v>
      </c>
      <c r="D32" s="11" t="s">
        <v>166</v>
      </c>
    </row>
    <row r="33" spans="1:4" x14ac:dyDescent="0.3">
      <c r="A33" s="10">
        <v>32</v>
      </c>
      <c r="B33" s="11" t="s">
        <v>67</v>
      </c>
      <c r="C33" s="11" t="s">
        <v>26</v>
      </c>
      <c r="D33" s="11" t="s">
        <v>167</v>
      </c>
    </row>
    <row r="34" spans="1:4" x14ac:dyDescent="0.3">
      <c r="A34" s="10">
        <v>33</v>
      </c>
      <c r="B34" s="11" t="s">
        <v>68</v>
      </c>
      <c r="C34" s="11" t="s">
        <v>33</v>
      </c>
      <c r="D34" s="11" t="s">
        <v>168</v>
      </c>
    </row>
    <row r="35" spans="1:4" x14ac:dyDescent="0.3">
      <c r="A35" s="10">
        <v>34</v>
      </c>
      <c r="B35" s="11" t="s">
        <v>169</v>
      </c>
      <c r="C35" s="11" t="s">
        <v>25</v>
      </c>
      <c r="D35" s="11" t="s">
        <v>170</v>
      </c>
    </row>
    <row r="36" spans="1:4" x14ac:dyDescent="0.3">
      <c r="A36" s="10">
        <v>35</v>
      </c>
      <c r="B36" s="11" t="s">
        <v>69</v>
      </c>
      <c r="C36" s="11" t="s">
        <v>19</v>
      </c>
      <c r="D36" s="11" t="s">
        <v>171</v>
      </c>
    </row>
    <row r="37" spans="1:4" x14ac:dyDescent="0.3">
      <c r="A37" s="10">
        <v>36</v>
      </c>
      <c r="B37" s="11" t="s">
        <v>70</v>
      </c>
      <c r="C37" s="11" t="s">
        <v>30</v>
      </c>
      <c r="D37" s="11" t="s">
        <v>172</v>
      </c>
    </row>
    <row r="38" spans="1:4" x14ac:dyDescent="0.3">
      <c r="A38" s="10">
        <v>37</v>
      </c>
      <c r="B38" s="11" t="s">
        <v>71</v>
      </c>
      <c r="C38" s="11" t="s">
        <v>27</v>
      </c>
      <c r="D38" s="11" t="s">
        <v>173</v>
      </c>
    </row>
    <row r="39" spans="1:4" x14ac:dyDescent="0.3">
      <c r="A39" s="10">
        <v>38</v>
      </c>
      <c r="B39" s="11" t="s">
        <v>72</v>
      </c>
      <c r="C39" s="11" t="s">
        <v>26</v>
      </c>
      <c r="D39" s="11" t="s">
        <v>174</v>
      </c>
    </row>
    <row r="40" spans="1:4" x14ac:dyDescent="0.3">
      <c r="A40" s="10">
        <v>39</v>
      </c>
      <c r="B40" s="11" t="s">
        <v>73</v>
      </c>
      <c r="C40" s="11" t="s">
        <v>30</v>
      </c>
      <c r="D40" s="11" t="s">
        <v>175</v>
      </c>
    </row>
    <row r="41" spans="1:4" x14ac:dyDescent="0.3">
      <c r="A41" s="10">
        <v>40</v>
      </c>
      <c r="B41" s="11" t="s">
        <v>74</v>
      </c>
      <c r="C41" s="11" t="s">
        <v>24</v>
      </c>
      <c r="D41" s="11" t="s">
        <v>176</v>
      </c>
    </row>
    <row r="42" spans="1:4" x14ac:dyDescent="0.3">
      <c r="A42" s="10">
        <v>41</v>
      </c>
      <c r="B42" s="11" t="s">
        <v>75</v>
      </c>
      <c r="C42" s="11" t="s">
        <v>30</v>
      </c>
      <c r="D42" s="11" t="s">
        <v>177</v>
      </c>
    </row>
    <row r="43" spans="1:4" x14ac:dyDescent="0.3">
      <c r="A43" s="10">
        <v>42</v>
      </c>
      <c r="B43" s="11" t="s">
        <v>76</v>
      </c>
      <c r="C43" s="11" t="s">
        <v>14</v>
      </c>
      <c r="D43" s="11" t="s">
        <v>178</v>
      </c>
    </row>
    <row r="44" spans="1:4" x14ac:dyDescent="0.3">
      <c r="A44" s="10">
        <v>43</v>
      </c>
      <c r="B44" s="11" t="s">
        <v>77</v>
      </c>
      <c r="C44" s="11" t="s">
        <v>19</v>
      </c>
      <c r="D44" s="11" t="s">
        <v>179</v>
      </c>
    </row>
    <row r="45" spans="1:4" x14ac:dyDescent="0.3">
      <c r="A45" s="10">
        <v>44</v>
      </c>
      <c r="B45" s="11" t="s">
        <v>78</v>
      </c>
      <c r="C45" s="11" t="s">
        <v>33</v>
      </c>
      <c r="D45" s="11" t="s">
        <v>180</v>
      </c>
    </row>
    <row r="46" spans="1:4" x14ac:dyDescent="0.3">
      <c r="A46" s="10">
        <v>45</v>
      </c>
      <c r="B46" s="11" t="s">
        <v>79</v>
      </c>
      <c r="C46" s="11" t="s">
        <v>5</v>
      </c>
      <c r="D46" s="11" t="s">
        <v>181</v>
      </c>
    </row>
    <row r="47" spans="1:4" x14ac:dyDescent="0.3">
      <c r="A47" s="10">
        <v>46</v>
      </c>
      <c r="B47" s="11" t="s">
        <v>80</v>
      </c>
      <c r="C47" s="11" t="s">
        <v>26</v>
      </c>
      <c r="D47" s="11" t="s">
        <v>182</v>
      </c>
    </row>
    <row r="48" spans="1:4" x14ac:dyDescent="0.3">
      <c r="A48" s="10">
        <v>47</v>
      </c>
      <c r="B48" s="11" t="s">
        <v>81</v>
      </c>
      <c r="C48" s="11" t="s">
        <v>5</v>
      </c>
      <c r="D48" s="11" t="s">
        <v>183</v>
      </c>
    </row>
    <row r="49" spans="1:4" x14ac:dyDescent="0.3">
      <c r="A49" s="10">
        <v>48</v>
      </c>
      <c r="B49" s="11" t="s">
        <v>82</v>
      </c>
      <c r="C49" s="11" t="s">
        <v>26</v>
      </c>
      <c r="D49" s="11" t="s">
        <v>184</v>
      </c>
    </row>
    <row r="50" spans="1:4" x14ac:dyDescent="0.3">
      <c r="A50" s="10">
        <v>49</v>
      </c>
      <c r="B50" s="11" t="s">
        <v>83</v>
      </c>
      <c r="C50" s="11" t="s">
        <v>21</v>
      </c>
      <c r="D50" s="11" t="s">
        <v>185</v>
      </c>
    </row>
    <row r="51" spans="1:4" x14ac:dyDescent="0.3">
      <c r="A51" s="10">
        <v>50</v>
      </c>
      <c r="B51" s="11" t="s">
        <v>84</v>
      </c>
      <c r="C51" s="11" t="s">
        <v>5</v>
      </c>
      <c r="D51" s="11" t="s">
        <v>186</v>
      </c>
    </row>
    <row r="52" spans="1:4" x14ac:dyDescent="0.3">
      <c r="A52" s="10">
        <v>51</v>
      </c>
      <c r="B52" s="11" t="s">
        <v>85</v>
      </c>
      <c r="C52" s="11" t="s">
        <v>26</v>
      </c>
      <c r="D52" s="11" t="s">
        <v>187</v>
      </c>
    </row>
    <row r="53" spans="1:4" x14ac:dyDescent="0.3">
      <c r="A53" s="10">
        <v>52</v>
      </c>
      <c r="B53" s="11" t="s">
        <v>86</v>
      </c>
      <c r="C53" s="11" t="s">
        <v>17</v>
      </c>
      <c r="D53" s="11" t="s">
        <v>188</v>
      </c>
    </row>
    <row r="54" spans="1:4" x14ac:dyDescent="0.3">
      <c r="A54" s="10">
        <v>53</v>
      </c>
      <c r="B54" s="11" t="s">
        <v>87</v>
      </c>
      <c r="C54" s="11" t="s">
        <v>31</v>
      </c>
      <c r="D54" s="11" t="s">
        <v>189</v>
      </c>
    </row>
    <row r="55" spans="1:4" x14ac:dyDescent="0.3">
      <c r="A55" s="10">
        <v>54</v>
      </c>
      <c r="B55" s="11" t="s">
        <v>88</v>
      </c>
      <c r="C55" s="11" t="s">
        <v>5</v>
      </c>
      <c r="D55" s="11" t="s">
        <v>190</v>
      </c>
    </row>
    <row r="56" spans="1:4" x14ac:dyDescent="0.3">
      <c r="A56" s="10">
        <v>55</v>
      </c>
      <c r="B56" s="11" t="s">
        <v>89</v>
      </c>
      <c r="C56" s="11" t="s">
        <v>25</v>
      </c>
      <c r="D56" s="11" t="s">
        <v>191</v>
      </c>
    </row>
    <row r="57" spans="1:4" x14ac:dyDescent="0.3">
      <c r="A57" s="10">
        <v>56</v>
      </c>
      <c r="B57" s="11" t="s">
        <v>90</v>
      </c>
      <c r="C57" s="11" t="s">
        <v>22</v>
      </c>
      <c r="D57" s="11" t="s">
        <v>192</v>
      </c>
    </row>
    <row r="58" spans="1:4" x14ac:dyDescent="0.3">
      <c r="A58" s="10">
        <v>57</v>
      </c>
      <c r="B58" s="11" t="s">
        <v>91</v>
      </c>
      <c r="C58" s="11" t="s">
        <v>32</v>
      </c>
      <c r="D58" s="11" t="s">
        <v>193</v>
      </c>
    </row>
    <row r="59" spans="1:4" x14ac:dyDescent="0.3">
      <c r="A59" s="10">
        <v>58</v>
      </c>
      <c r="B59" s="11" t="s">
        <v>92</v>
      </c>
      <c r="C59" s="11" t="s">
        <v>29</v>
      </c>
      <c r="D59" s="11" t="s">
        <v>194</v>
      </c>
    </row>
    <row r="60" spans="1:4" x14ac:dyDescent="0.3">
      <c r="A60" s="10">
        <v>59</v>
      </c>
      <c r="B60" s="11" t="s">
        <v>93</v>
      </c>
      <c r="C60" s="11" t="s">
        <v>29</v>
      </c>
      <c r="D60" s="11" t="s">
        <v>195</v>
      </c>
    </row>
    <row r="61" spans="1:4" x14ac:dyDescent="0.3">
      <c r="A61" s="10">
        <v>60</v>
      </c>
      <c r="B61" s="11" t="s">
        <v>94</v>
      </c>
      <c r="C61" s="11" t="s">
        <v>4</v>
      </c>
      <c r="D61" s="11" t="s">
        <v>196</v>
      </c>
    </row>
    <row r="62" spans="1:4" x14ac:dyDescent="0.3">
      <c r="A62" s="10">
        <v>61</v>
      </c>
      <c r="B62" s="11" t="s">
        <v>95</v>
      </c>
      <c r="C62" s="11" t="s">
        <v>31</v>
      </c>
      <c r="D62" s="11" t="s">
        <v>197</v>
      </c>
    </row>
    <row r="63" spans="1:4" x14ac:dyDescent="0.3">
      <c r="A63" s="10">
        <v>62</v>
      </c>
      <c r="B63" s="11" t="s">
        <v>96</v>
      </c>
      <c r="C63" s="11" t="s">
        <v>25</v>
      </c>
      <c r="D63" s="11" t="s">
        <v>198</v>
      </c>
    </row>
    <row r="64" spans="1:4" x14ac:dyDescent="0.3">
      <c r="A64" s="10">
        <v>63</v>
      </c>
      <c r="B64" s="11" t="s">
        <v>97</v>
      </c>
      <c r="C64" s="11" t="s">
        <v>5</v>
      </c>
      <c r="D64" s="11" t="s">
        <v>199</v>
      </c>
    </row>
    <row r="65" spans="1:4" x14ac:dyDescent="0.3">
      <c r="A65" s="10">
        <v>64</v>
      </c>
      <c r="B65" s="11" t="s">
        <v>98</v>
      </c>
      <c r="C65" s="11" t="s">
        <v>28</v>
      </c>
      <c r="D65" s="11" t="s">
        <v>200</v>
      </c>
    </row>
    <row r="66" spans="1:4" x14ac:dyDescent="0.3">
      <c r="A66" s="10">
        <v>65</v>
      </c>
      <c r="B66" s="11" t="s">
        <v>99</v>
      </c>
      <c r="C66" s="11" t="s">
        <v>21</v>
      </c>
      <c r="D66" s="11" t="s">
        <v>201</v>
      </c>
    </row>
    <row r="67" spans="1:4" x14ac:dyDescent="0.3">
      <c r="A67" s="10">
        <v>66</v>
      </c>
      <c r="B67" s="11" t="s">
        <v>100</v>
      </c>
      <c r="C67" s="11" t="s">
        <v>14</v>
      </c>
      <c r="D67" s="11" t="s">
        <v>202</v>
      </c>
    </row>
    <row r="68" spans="1:4" x14ac:dyDescent="0.3">
      <c r="A68" s="10">
        <v>67</v>
      </c>
      <c r="B68" s="11" t="s">
        <v>101</v>
      </c>
      <c r="C68" s="11" t="s">
        <v>25</v>
      </c>
      <c r="D68" s="11" t="s">
        <v>203</v>
      </c>
    </row>
    <row r="69" spans="1:4" x14ac:dyDescent="0.3">
      <c r="A69" s="10">
        <v>68</v>
      </c>
      <c r="B69" s="11" t="s">
        <v>102</v>
      </c>
      <c r="C69" s="11" t="s">
        <v>26</v>
      </c>
      <c r="D69" s="11" t="s">
        <v>204</v>
      </c>
    </row>
    <row r="70" spans="1:4" x14ac:dyDescent="0.3">
      <c r="A70" s="10">
        <v>69</v>
      </c>
      <c r="B70" s="11" t="s">
        <v>103</v>
      </c>
      <c r="C70" s="11" t="s">
        <v>26</v>
      </c>
      <c r="D70" s="11" t="s">
        <v>205</v>
      </c>
    </row>
    <row r="71" spans="1:4" x14ac:dyDescent="0.3">
      <c r="A71" s="10">
        <v>70</v>
      </c>
      <c r="B71" s="11" t="s">
        <v>104</v>
      </c>
      <c r="C71" s="11" t="s">
        <v>27</v>
      </c>
      <c r="D71" s="11" t="s">
        <v>206</v>
      </c>
    </row>
    <row r="72" spans="1:4" x14ac:dyDescent="0.3">
      <c r="A72" s="10">
        <v>71</v>
      </c>
      <c r="B72" s="11" t="s">
        <v>105</v>
      </c>
      <c r="C72" s="11" t="s">
        <v>17</v>
      </c>
      <c r="D72" s="11" t="s">
        <v>207</v>
      </c>
    </row>
    <row r="73" spans="1:4" x14ac:dyDescent="0.3">
      <c r="A73" s="10">
        <v>72</v>
      </c>
      <c r="B73" s="11" t="s">
        <v>106</v>
      </c>
      <c r="C73" s="11" t="s">
        <v>26</v>
      </c>
      <c r="D73" s="11" t="s">
        <v>208</v>
      </c>
    </row>
    <row r="74" spans="1:4" x14ac:dyDescent="0.3">
      <c r="A74" s="10">
        <v>73</v>
      </c>
      <c r="B74" s="11" t="s">
        <v>107</v>
      </c>
      <c r="C74" s="11" t="s">
        <v>31</v>
      </c>
      <c r="D74" s="11" t="s">
        <v>209</v>
      </c>
    </row>
    <row r="75" spans="1:4" x14ac:dyDescent="0.3">
      <c r="A75" s="10">
        <v>74</v>
      </c>
      <c r="B75" s="11" t="s">
        <v>108</v>
      </c>
      <c r="C75" s="11" t="s">
        <v>25</v>
      </c>
      <c r="D75" s="11" t="s">
        <v>210</v>
      </c>
    </row>
    <row r="76" spans="1:4" x14ac:dyDescent="0.3">
      <c r="A76" s="10">
        <v>75</v>
      </c>
      <c r="B76" s="11" t="s">
        <v>211</v>
      </c>
      <c r="C76" s="11" t="s">
        <v>20</v>
      </c>
      <c r="D76" s="11" t="s">
        <v>212</v>
      </c>
    </row>
    <row r="77" spans="1:4" x14ac:dyDescent="0.3">
      <c r="A77" s="10">
        <v>76</v>
      </c>
      <c r="B77" s="11" t="s">
        <v>213</v>
      </c>
      <c r="C77" s="11" t="s">
        <v>25</v>
      </c>
      <c r="D77" s="11" t="s">
        <v>214</v>
      </c>
    </row>
    <row r="78" spans="1:4" x14ac:dyDescent="0.3">
      <c r="A78" s="10">
        <v>77</v>
      </c>
      <c r="B78" s="11" t="s">
        <v>109</v>
      </c>
      <c r="C78" s="11" t="s">
        <v>19</v>
      </c>
      <c r="D78" s="11" t="s">
        <v>215</v>
      </c>
    </row>
    <row r="79" spans="1:4" x14ac:dyDescent="0.3">
      <c r="A79" s="10">
        <v>78</v>
      </c>
      <c r="B79" s="11" t="s">
        <v>110</v>
      </c>
      <c r="C79" s="11" t="s">
        <v>25</v>
      </c>
      <c r="D79" s="11" t="s">
        <v>216</v>
      </c>
    </row>
    <row r="80" spans="1:4" x14ac:dyDescent="0.3">
      <c r="A80" s="10">
        <v>79</v>
      </c>
      <c r="B80" s="11" t="s">
        <v>111</v>
      </c>
      <c r="C80" s="11" t="s">
        <v>19</v>
      </c>
      <c r="D80" s="11" t="s">
        <v>217</v>
      </c>
    </row>
    <row r="81" spans="1:4" x14ac:dyDescent="0.3">
      <c r="A81" s="10">
        <v>80</v>
      </c>
      <c r="B81" s="11" t="s">
        <v>112</v>
      </c>
      <c r="C81" s="11" t="s">
        <v>4</v>
      </c>
      <c r="D81" s="11" t="s">
        <v>218</v>
      </c>
    </row>
    <row r="82" spans="1:4" x14ac:dyDescent="0.3">
      <c r="A82" s="10">
        <v>81</v>
      </c>
      <c r="B82" s="11" t="s">
        <v>113</v>
      </c>
      <c r="C82" s="11" t="s">
        <v>22</v>
      </c>
      <c r="D82" s="11" t="s">
        <v>219</v>
      </c>
    </row>
    <row r="83" spans="1:4" x14ac:dyDescent="0.3">
      <c r="A83" s="10">
        <v>82</v>
      </c>
      <c r="B83" s="11" t="s">
        <v>114</v>
      </c>
      <c r="C83" s="11" t="s">
        <v>29</v>
      </c>
      <c r="D83" s="11" t="s">
        <v>220</v>
      </c>
    </row>
    <row r="84" spans="1:4" x14ac:dyDescent="0.3">
      <c r="A84" s="10">
        <v>83</v>
      </c>
      <c r="B84" s="11" t="s">
        <v>115</v>
      </c>
      <c r="C84" s="11" t="s">
        <v>30</v>
      </c>
      <c r="D84" s="11" t="s">
        <v>221</v>
      </c>
    </row>
    <row r="85" spans="1:4" x14ac:dyDescent="0.3">
      <c r="A85" s="10">
        <v>84</v>
      </c>
      <c r="B85" s="11" t="s">
        <v>116</v>
      </c>
      <c r="C85" s="11" t="s">
        <v>26</v>
      </c>
      <c r="D85" s="11" t="s">
        <v>222</v>
      </c>
    </row>
    <row r="86" spans="1:4" x14ac:dyDescent="0.3">
      <c r="A86" s="10">
        <v>85</v>
      </c>
      <c r="B86" s="11" t="s">
        <v>117</v>
      </c>
      <c r="C86" s="11" t="s">
        <v>31</v>
      </c>
      <c r="D86" s="11" t="s">
        <v>223</v>
      </c>
    </row>
    <row r="87" spans="1:4" x14ac:dyDescent="0.3">
      <c r="A87" s="10">
        <v>86</v>
      </c>
      <c r="B87" s="11" t="s">
        <v>118</v>
      </c>
      <c r="C87" s="11" t="s">
        <v>5</v>
      </c>
      <c r="D87" s="11" t="s">
        <v>224</v>
      </c>
    </row>
    <row r="88" spans="1:4" x14ac:dyDescent="0.3">
      <c r="A88" s="10">
        <v>87</v>
      </c>
      <c r="B88" s="11" t="s">
        <v>119</v>
      </c>
      <c r="C88" s="11" t="s">
        <v>33</v>
      </c>
      <c r="D88" s="11" t="s">
        <v>225</v>
      </c>
    </row>
    <row r="89" spans="1:4" x14ac:dyDescent="0.3">
      <c r="A89" s="10">
        <v>88</v>
      </c>
      <c r="B89" s="11" t="s">
        <v>120</v>
      </c>
      <c r="C89" s="11" t="s">
        <v>14</v>
      </c>
      <c r="D89" s="11" t="s">
        <v>226</v>
      </c>
    </row>
    <row r="90" spans="1:4" x14ac:dyDescent="0.3">
      <c r="A90" s="10">
        <v>89</v>
      </c>
      <c r="B90" s="11" t="s">
        <v>121</v>
      </c>
      <c r="C90" s="11" t="s">
        <v>28</v>
      </c>
      <c r="D90" s="11" t="s">
        <v>227</v>
      </c>
    </row>
    <row r="91" spans="1:4" x14ac:dyDescent="0.3">
      <c r="A91" s="10">
        <v>90</v>
      </c>
      <c r="B91" s="11" t="s">
        <v>122</v>
      </c>
      <c r="C91" s="11" t="s">
        <v>32</v>
      </c>
      <c r="D91" s="11" t="s">
        <v>228</v>
      </c>
    </row>
    <row r="92" spans="1:4" x14ac:dyDescent="0.3">
      <c r="A92" s="10">
        <v>91</v>
      </c>
      <c r="B92" s="11" t="s">
        <v>123</v>
      </c>
      <c r="C92" s="11" t="s">
        <v>31</v>
      </c>
      <c r="D92" s="11" t="s">
        <v>229</v>
      </c>
    </row>
    <row r="93" spans="1:4" x14ac:dyDescent="0.3">
      <c r="A93" s="10">
        <v>92</v>
      </c>
      <c r="B93" s="11" t="s">
        <v>124</v>
      </c>
      <c r="C93" s="11" t="s">
        <v>34</v>
      </c>
      <c r="D93" s="11" t="s">
        <v>230</v>
      </c>
    </row>
    <row r="94" spans="1:4" x14ac:dyDescent="0.3">
      <c r="A94" s="10">
        <v>93</v>
      </c>
      <c r="B94" s="11" t="s">
        <v>125</v>
      </c>
      <c r="C94" s="11" t="s">
        <v>4</v>
      </c>
      <c r="D94" s="11" t="s">
        <v>231</v>
      </c>
    </row>
    <row r="95" spans="1:4" x14ac:dyDescent="0.3">
      <c r="A95" s="10">
        <v>94</v>
      </c>
      <c r="B95" s="11" t="s">
        <v>126</v>
      </c>
      <c r="C95" s="11" t="s">
        <v>27</v>
      </c>
      <c r="D95" s="11" t="s">
        <v>232</v>
      </c>
    </row>
    <row r="96" spans="1:4" x14ac:dyDescent="0.3">
      <c r="A96" s="10">
        <v>95</v>
      </c>
      <c r="B96" s="11" t="s">
        <v>127</v>
      </c>
      <c r="C96" s="11" t="s">
        <v>27</v>
      </c>
      <c r="D96" s="11" t="s">
        <v>233</v>
      </c>
    </row>
    <row r="97" spans="1:4" x14ac:dyDescent="0.3">
      <c r="A97" s="10">
        <v>96</v>
      </c>
      <c r="B97" s="11" t="s">
        <v>128</v>
      </c>
      <c r="C97" s="11" t="s">
        <v>5</v>
      </c>
      <c r="D97" s="11" t="s">
        <v>234</v>
      </c>
    </row>
    <row r="98" spans="1:4" x14ac:dyDescent="0.3">
      <c r="A98" s="10">
        <v>97</v>
      </c>
      <c r="B98" s="11" t="s">
        <v>129</v>
      </c>
      <c r="C98" s="11" t="s">
        <v>4</v>
      </c>
      <c r="D98" s="11" t="s">
        <v>235</v>
      </c>
    </row>
    <row r="99" spans="1:4" x14ac:dyDescent="0.3">
      <c r="A99" s="10">
        <v>98</v>
      </c>
      <c r="B99" s="11" t="s">
        <v>130</v>
      </c>
      <c r="C99" s="11" t="s">
        <v>32</v>
      </c>
      <c r="D99" s="11" t="s">
        <v>236</v>
      </c>
    </row>
    <row r="100" spans="1:4" x14ac:dyDescent="0.3">
      <c r="A100" s="10">
        <v>99</v>
      </c>
      <c r="B100" s="11" t="s">
        <v>131</v>
      </c>
      <c r="C100" s="11" t="s">
        <v>32</v>
      </c>
      <c r="D100" s="11" t="s">
        <v>237</v>
      </c>
    </row>
    <row r="101" spans="1:4" x14ac:dyDescent="0.3">
      <c r="A101" s="10">
        <v>100</v>
      </c>
      <c r="B101" s="11" t="s">
        <v>132</v>
      </c>
      <c r="C101" s="11" t="s">
        <v>4</v>
      </c>
      <c r="D101" s="11" t="s">
        <v>238</v>
      </c>
    </row>
    <row r="102" spans="1:4" x14ac:dyDescent="0.3">
      <c r="A102" s="10">
        <v>101</v>
      </c>
      <c r="B102" s="11" t="s">
        <v>133</v>
      </c>
      <c r="C102" s="11" t="s">
        <v>20</v>
      </c>
      <c r="D102" s="11" t="s">
        <v>239</v>
      </c>
    </row>
    <row r="103" spans="1:4" x14ac:dyDescent="0.3">
      <c r="A103" s="10">
        <v>102</v>
      </c>
      <c r="B103" s="11" t="s">
        <v>134</v>
      </c>
      <c r="C103" s="11" t="s">
        <v>4</v>
      </c>
      <c r="D103" s="11" t="s">
        <v>240</v>
      </c>
    </row>
    <row r="104" spans="1:4" x14ac:dyDescent="0.3">
      <c r="A104" s="10">
        <v>103</v>
      </c>
      <c r="B104" s="11" t="s">
        <v>135</v>
      </c>
      <c r="C104" s="11" t="s">
        <v>19</v>
      </c>
      <c r="D104" s="11" t="s">
        <v>241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5D15-A316-48D4-B273-A99784200F3E}">
  <dimension ref="A3:N20"/>
  <sheetViews>
    <sheetView topLeftCell="A4" workbookViewId="0">
      <selection activeCell="K23" sqref="K23"/>
    </sheetView>
  </sheetViews>
  <sheetFormatPr defaultRowHeight="14.4" x14ac:dyDescent="0.3"/>
  <cols>
    <col min="1" max="1" width="17.21875" bestFit="1" customWidth="1"/>
    <col min="2" max="2" width="10.88671875" bestFit="1" customWidth="1"/>
    <col min="3" max="3" width="10.77734375" bestFit="1" customWidth="1"/>
    <col min="4" max="5" width="10.88671875" bestFit="1" customWidth="1"/>
    <col min="6" max="6" width="19.33203125" bestFit="1" customWidth="1"/>
    <col min="7" max="7" width="20.109375" bestFit="1" customWidth="1"/>
    <col min="8" max="10" width="10.88671875" bestFit="1" customWidth="1"/>
    <col min="11" max="11" width="9.33203125" bestFit="1" customWidth="1"/>
    <col min="12" max="12" width="17.21875" bestFit="1" customWidth="1"/>
    <col min="13" max="13" width="9.33203125" bestFit="1" customWidth="1"/>
    <col min="14" max="14" width="17.21875" bestFit="1" customWidth="1"/>
  </cols>
  <sheetData>
    <row r="3" spans="1:7" x14ac:dyDescent="0.3">
      <c r="A3" s="17" t="s">
        <v>269</v>
      </c>
      <c r="B3" s="17" t="s">
        <v>9</v>
      </c>
    </row>
    <row r="4" spans="1:7" x14ac:dyDescent="0.3">
      <c r="A4" s="17" t="s">
        <v>267</v>
      </c>
      <c r="B4" t="s">
        <v>251</v>
      </c>
      <c r="C4" t="s">
        <v>11</v>
      </c>
      <c r="D4" t="s">
        <v>250</v>
      </c>
      <c r="E4" t="s">
        <v>10</v>
      </c>
      <c r="F4" t="s">
        <v>252</v>
      </c>
      <c r="G4" t="s">
        <v>265</v>
      </c>
    </row>
    <row r="5" spans="1:7" x14ac:dyDescent="0.3">
      <c r="A5" s="18" t="s">
        <v>247</v>
      </c>
      <c r="B5" s="20">
        <v>1061.5999999999999</v>
      </c>
      <c r="C5" s="20">
        <v>1088.7857142857142</v>
      </c>
      <c r="D5" s="20">
        <v>1240.4375</v>
      </c>
      <c r="E5" s="20">
        <v>856.76470588235293</v>
      </c>
      <c r="F5" s="20">
        <v>1097.5714285714287</v>
      </c>
      <c r="G5" s="20">
        <v>1067.8072289156626</v>
      </c>
    </row>
    <row r="6" spans="1:7" x14ac:dyDescent="0.3">
      <c r="A6" s="18" t="s">
        <v>3</v>
      </c>
      <c r="B6" s="20">
        <v>1039.8095238095239</v>
      </c>
      <c r="C6" s="20">
        <v>664</v>
      </c>
      <c r="D6" s="20">
        <v>1077.047619047619</v>
      </c>
      <c r="E6" s="20">
        <v>1223.8666666666666</v>
      </c>
      <c r="F6" s="20">
        <v>1131.4000000000001</v>
      </c>
      <c r="G6" s="20">
        <v>1058.3908045977012</v>
      </c>
    </row>
    <row r="7" spans="1:7" x14ac:dyDescent="0.3">
      <c r="A7" s="18" t="s">
        <v>248</v>
      </c>
      <c r="B7" s="20">
        <v>1065.7272727272727</v>
      </c>
      <c r="C7" s="20">
        <v>927.73684210526312</v>
      </c>
      <c r="D7" s="20">
        <v>998.07142857142856</v>
      </c>
      <c r="E7" s="20">
        <v>956.53846153846155</v>
      </c>
      <c r="F7" s="20">
        <v>1116.3333333333333</v>
      </c>
      <c r="G7" s="20">
        <v>1010.9625</v>
      </c>
    </row>
    <row r="8" spans="1:7" x14ac:dyDescent="0.3">
      <c r="A8" s="18" t="s">
        <v>8</v>
      </c>
      <c r="B8" s="20">
        <v>1182.7333333333333</v>
      </c>
      <c r="C8" s="20">
        <v>1108.1666666666667</v>
      </c>
      <c r="D8" s="20">
        <v>1032.3571428571429</v>
      </c>
      <c r="E8" s="20">
        <v>1019.6428571428571</v>
      </c>
      <c r="F8" s="20">
        <v>760.4666666666667</v>
      </c>
      <c r="G8" s="20">
        <v>1016.7714285714286</v>
      </c>
    </row>
    <row r="9" spans="1:7" x14ac:dyDescent="0.3">
      <c r="A9" s="18" t="s">
        <v>1</v>
      </c>
      <c r="B9" s="20">
        <v>963.36842105263156</v>
      </c>
      <c r="C9" s="20">
        <v>1067</v>
      </c>
      <c r="D9" s="20">
        <v>859.29411764705878</v>
      </c>
      <c r="E9" s="20">
        <v>1024.9444444444443</v>
      </c>
      <c r="F9" s="20">
        <v>936.35</v>
      </c>
      <c r="G9" s="20">
        <v>974.60416666666663</v>
      </c>
    </row>
    <row r="10" spans="1:7" x14ac:dyDescent="0.3">
      <c r="A10" s="18" t="s">
        <v>2</v>
      </c>
      <c r="B10" s="20">
        <v>913.61111111111109</v>
      </c>
      <c r="C10" s="20">
        <v>899.5454545454545</v>
      </c>
      <c r="D10" s="20">
        <v>1138.2666666666667</v>
      </c>
      <c r="E10" s="20">
        <v>1359.2142857142858</v>
      </c>
      <c r="F10" s="20">
        <v>982.6</v>
      </c>
      <c r="G10" s="20">
        <v>1036.6309523809523</v>
      </c>
    </row>
    <row r="11" spans="1:7" x14ac:dyDescent="0.3">
      <c r="A11" s="18" t="s">
        <v>265</v>
      </c>
      <c r="B11" s="20">
        <v>1033.5999999999999</v>
      </c>
      <c r="C11" s="20">
        <v>970.42424242424238</v>
      </c>
      <c r="D11" s="20">
        <v>1057.4536082474226</v>
      </c>
      <c r="E11" s="20">
        <v>1067.1538461538462</v>
      </c>
      <c r="F11" s="20">
        <v>1009.1844660194175</v>
      </c>
      <c r="G11" s="20">
        <v>1026.796</v>
      </c>
    </row>
    <row r="18" spans="6:14" x14ac:dyDescent="0.3">
      <c r="G18" s="17" t="s">
        <v>266</v>
      </c>
    </row>
    <row r="19" spans="6:14" x14ac:dyDescent="0.3">
      <c r="G19" t="s">
        <v>247</v>
      </c>
      <c r="H19" t="s">
        <v>3</v>
      </c>
      <c r="I19" t="s">
        <v>248</v>
      </c>
      <c r="J19" t="s">
        <v>8</v>
      </c>
      <c r="K19" t="s">
        <v>1</v>
      </c>
      <c r="L19" t="s">
        <v>265</v>
      </c>
      <c r="M19" t="s">
        <v>2</v>
      </c>
      <c r="N19" t="s">
        <v>265</v>
      </c>
    </row>
    <row r="20" spans="6:14" x14ac:dyDescent="0.3">
      <c r="F20" t="s">
        <v>297</v>
      </c>
      <c r="G20" s="20">
        <v>1061.5999999999999</v>
      </c>
      <c r="H20" s="20">
        <v>1039.8095238095239</v>
      </c>
      <c r="I20" s="20">
        <v>1065.7272727272727</v>
      </c>
      <c r="J20" s="20">
        <v>1182.7333333333333</v>
      </c>
      <c r="K20" s="20">
        <v>963.36842105263156</v>
      </c>
      <c r="L20" s="20">
        <v>1033.5999999999999</v>
      </c>
      <c r="M20" s="20">
        <v>913.61111111111109</v>
      </c>
      <c r="N20" s="20">
        <v>7260.4496620338723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00E0-D81B-447E-A9EE-D107EAA0E31A}">
  <dimension ref="A3:D22"/>
  <sheetViews>
    <sheetView workbookViewId="0">
      <selection activeCell="B18" sqref="B18"/>
    </sheetView>
  </sheetViews>
  <sheetFormatPr defaultRowHeight="14.4" x14ac:dyDescent="0.3"/>
  <cols>
    <col min="1" max="1" width="18.33203125" bestFit="1" customWidth="1"/>
    <col min="2" max="2" width="17.21875" bestFit="1" customWidth="1"/>
    <col min="3" max="3" width="19.21875" bestFit="1" customWidth="1"/>
    <col min="4" max="4" width="19.88671875" bestFit="1" customWidth="1"/>
    <col min="5" max="6" width="10.88671875" bestFit="1" customWidth="1"/>
    <col min="7" max="7" width="17.21875" bestFit="1" customWidth="1"/>
  </cols>
  <sheetData>
    <row r="3" spans="1:4" x14ac:dyDescent="0.3">
      <c r="A3" s="17" t="s">
        <v>268</v>
      </c>
      <c r="B3" s="17" t="s">
        <v>266</v>
      </c>
    </row>
    <row r="4" spans="1:4" x14ac:dyDescent="0.3">
      <c r="A4" s="17" t="s">
        <v>264</v>
      </c>
      <c r="B4" t="s">
        <v>11</v>
      </c>
      <c r="C4" t="s">
        <v>10</v>
      </c>
      <c r="D4" t="s">
        <v>265</v>
      </c>
    </row>
    <row r="5" spans="1:4" x14ac:dyDescent="0.3">
      <c r="A5" s="18" t="s">
        <v>3</v>
      </c>
      <c r="B5" s="20">
        <v>715</v>
      </c>
      <c r="C5" s="20">
        <v>1090</v>
      </c>
      <c r="D5" s="20">
        <v>1805</v>
      </c>
    </row>
    <row r="6" spans="1:4" x14ac:dyDescent="0.3">
      <c r="A6" s="19" t="s">
        <v>114</v>
      </c>
      <c r="B6" s="20"/>
      <c r="C6" s="20">
        <v>1090</v>
      </c>
      <c r="D6" s="20">
        <v>1090</v>
      </c>
    </row>
    <row r="7" spans="1:4" x14ac:dyDescent="0.3">
      <c r="A7" s="19" t="s">
        <v>124</v>
      </c>
      <c r="B7" s="20">
        <v>715</v>
      </c>
      <c r="C7" s="20"/>
      <c r="D7" s="20">
        <v>715</v>
      </c>
    </row>
    <row r="8" spans="1:4" x14ac:dyDescent="0.3">
      <c r="A8" s="18" t="s">
        <v>8</v>
      </c>
      <c r="B8" s="20">
        <v>1421</v>
      </c>
      <c r="C8" s="20"/>
      <c r="D8" s="20">
        <v>1421</v>
      </c>
    </row>
    <row r="9" spans="1:4" x14ac:dyDescent="0.3">
      <c r="A9" s="19" t="s">
        <v>112</v>
      </c>
      <c r="B9" s="20">
        <v>1421</v>
      </c>
      <c r="C9" s="20"/>
      <c r="D9" s="20">
        <v>1421</v>
      </c>
    </row>
    <row r="10" spans="1:4" x14ac:dyDescent="0.3">
      <c r="A10" s="18" t="s">
        <v>2</v>
      </c>
      <c r="B10" s="20">
        <v>2501</v>
      </c>
      <c r="C10" s="20"/>
      <c r="D10" s="20">
        <v>2501</v>
      </c>
    </row>
    <row r="11" spans="1:4" x14ac:dyDescent="0.3">
      <c r="A11" s="19" t="s">
        <v>112</v>
      </c>
      <c r="B11" s="20">
        <v>3</v>
      </c>
      <c r="C11" s="20"/>
      <c r="D11" s="20">
        <v>3</v>
      </c>
    </row>
    <row r="12" spans="1:4" x14ac:dyDescent="0.3">
      <c r="A12" s="19" t="s">
        <v>114</v>
      </c>
      <c r="B12" s="20">
        <v>1916</v>
      </c>
      <c r="C12" s="20"/>
      <c r="D12" s="20">
        <v>1916</v>
      </c>
    </row>
    <row r="13" spans="1:4" x14ac:dyDescent="0.3">
      <c r="A13" s="19" t="s">
        <v>124</v>
      </c>
      <c r="B13" s="20">
        <v>582</v>
      </c>
      <c r="C13" s="20"/>
      <c r="D13" s="20">
        <v>582</v>
      </c>
    </row>
    <row r="14" spans="1:4" x14ac:dyDescent="0.3">
      <c r="A14" s="18" t="s">
        <v>265</v>
      </c>
      <c r="B14" s="20">
        <v>4637</v>
      </c>
      <c r="C14" s="20">
        <v>1090</v>
      </c>
      <c r="D14" s="20">
        <v>5727</v>
      </c>
    </row>
    <row r="18" spans="2:4" x14ac:dyDescent="0.3">
      <c r="B18" s="17" t="s">
        <v>264</v>
      </c>
      <c r="C18" t="s">
        <v>298</v>
      </c>
      <c r="D18" t="s">
        <v>299</v>
      </c>
    </row>
    <row r="19" spans="2:4" x14ac:dyDescent="0.3">
      <c r="B19" s="18" t="s">
        <v>3</v>
      </c>
      <c r="C19" s="21">
        <v>715</v>
      </c>
      <c r="D19" s="21">
        <v>1090</v>
      </c>
    </row>
    <row r="20" spans="2:4" x14ac:dyDescent="0.3">
      <c r="B20" s="18" t="s">
        <v>8</v>
      </c>
      <c r="C20" s="21">
        <v>1421</v>
      </c>
      <c r="D20" s="21"/>
    </row>
    <row r="21" spans="2:4" x14ac:dyDescent="0.3">
      <c r="B21" s="18" t="s">
        <v>2</v>
      </c>
      <c r="C21" s="21">
        <v>2501</v>
      </c>
      <c r="D21" s="21"/>
    </row>
    <row r="22" spans="2:4" x14ac:dyDescent="0.3">
      <c r="B22" s="18" t="s">
        <v>265</v>
      </c>
      <c r="C22" s="21">
        <v>4637</v>
      </c>
      <c r="D22" s="21">
        <v>1090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DDAC-EA76-4365-8A30-53343A6B1B50}">
  <dimension ref="A3:G25"/>
  <sheetViews>
    <sheetView workbookViewId="0">
      <selection activeCell="B17" sqref="B17"/>
    </sheetView>
  </sheetViews>
  <sheetFormatPr defaultRowHeight="14.4" x14ac:dyDescent="0.3"/>
  <cols>
    <col min="1" max="1" width="20.88671875" bestFit="1" customWidth="1"/>
    <col min="2" max="2" width="17.21875" bestFit="1" customWidth="1"/>
    <col min="3" max="3" width="19.33203125" bestFit="1" customWidth="1"/>
    <col min="4" max="4" width="19.21875" bestFit="1" customWidth="1"/>
    <col min="5" max="5" width="18.109375" bestFit="1" customWidth="1"/>
    <col min="6" max="6" width="19.88671875" bestFit="1" customWidth="1"/>
    <col min="7" max="7" width="13.5546875" bestFit="1" customWidth="1"/>
    <col min="8" max="8" width="26.33203125" bestFit="1" customWidth="1"/>
  </cols>
  <sheetData>
    <row r="3" spans="1:7" x14ac:dyDescent="0.3">
      <c r="A3" s="17" t="s">
        <v>277</v>
      </c>
      <c r="B3" s="17" t="s">
        <v>9</v>
      </c>
    </row>
    <row r="4" spans="1:7" x14ac:dyDescent="0.3">
      <c r="A4" s="17" t="s">
        <v>276</v>
      </c>
      <c r="B4" t="s">
        <v>251</v>
      </c>
      <c r="C4" t="s">
        <v>11</v>
      </c>
      <c r="D4" t="s">
        <v>250</v>
      </c>
      <c r="E4" t="s">
        <v>10</v>
      </c>
      <c r="F4" t="s">
        <v>252</v>
      </c>
      <c r="G4" t="s">
        <v>265</v>
      </c>
    </row>
    <row r="5" spans="1:7" x14ac:dyDescent="0.3">
      <c r="A5" s="18" t="s">
        <v>275</v>
      </c>
      <c r="B5" s="20">
        <v>8993</v>
      </c>
      <c r="C5" s="20">
        <v>18166</v>
      </c>
      <c r="D5" s="20">
        <v>18737</v>
      </c>
      <c r="E5" s="20">
        <v>12190</v>
      </c>
      <c r="F5" s="20">
        <v>16234</v>
      </c>
      <c r="G5" s="20">
        <v>74320</v>
      </c>
    </row>
    <row r="6" spans="1:7" x14ac:dyDescent="0.3">
      <c r="A6" s="18" t="s">
        <v>274</v>
      </c>
      <c r="B6" s="20">
        <v>24821</v>
      </c>
      <c r="C6" s="20">
        <v>13396</v>
      </c>
      <c r="D6" s="20">
        <v>22665</v>
      </c>
      <c r="E6" s="20">
        <v>16942</v>
      </c>
      <c r="F6" s="20">
        <v>20553</v>
      </c>
      <c r="G6" s="20">
        <v>98377</v>
      </c>
    </row>
    <row r="7" spans="1:7" x14ac:dyDescent="0.3">
      <c r="A7" s="18" t="s">
        <v>270</v>
      </c>
      <c r="B7" s="20">
        <v>14467</v>
      </c>
      <c r="C7" s="20">
        <v>15587</v>
      </c>
      <c r="D7" s="20">
        <v>10142</v>
      </c>
      <c r="E7" s="20">
        <v>20558</v>
      </c>
      <c r="F7" s="20">
        <v>15611</v>
      </c>
      <c r="G7" s="20">
        <v>76365</v>
      </c>
    </row>
    <row r="8" spans="1:7" x14ac:dyDescent="0.3">
      <c r="A8" s="18" t="s">
        <v>272</v>
      </c>
      <c r="B8" s="20">
        <v>22590</v>
      </c>
      <c r="C8" s="20">
        <v>13960</v>
      </c>
      <c r="D8" s="20">
        <v>14922</v>
      </c>
      <c r="E8" s="20">
        <v>18124</v>
      </c>
      <c r="F8" s="20">
        <v>14466</v>
      </c>
      <c r="G8" s="20">
        <v>84062</v>
      </c>
    </row>
    <row r="9" spans="1:7" x14ac:dyDescent="0.3">
      <c r="A9" s="18" t="s">
        <v>271</v>
      </c>
      <c r="B9" s="20">
        <v>20012</v>
      </c>
      <c r="C9" s="20">
        <v>16914</v>
      </c>
      <c r="D9" s="20">
        <v>24718</v>
      </c>
      <c r="E9" s="20">
        <v>13463</v>
      </c>
      <c r="F9" s="20">
        <v>14273</v>
      </c>
      <c r="G9" s="20">
        <v>89380</v>
      </c>
    </row>
    <row r="10" spans="1:7" x14ac:dyDescent="0.3">
      <c r="A10" s="18" t="s">
        <v>273</v>
      </c>
      <c r="B10" s="20">
        <v>22813</v>
      </c>
      <c r="C10" s="20">
        <v>18049</v>
      </c>
      <c r="D10" s="20">
        <v>11389</v>
      </c>
      <c r="E10" s="20">
        <v>15834</v>
      </c>
      <c r="F10" s="20">
        <v>22809</v>
      </c>
      <c r="G10" s="20">
        <v>90894</v>
      </c>
    </row>
    <row r="11" spans="1:7" x14ac:dyDescent="0.3">
      <c r="A11" s="18" t="s">
        <v>265</v>
      </c>
      <c r="B11" s="20">
        <v>113696</v>
      </c>
      <c r="C11" s="20">
        <v>96072</v>
      </c>
      <c r="D11" s="20">
        <v>102573</v>
      </c>
      <c r="E11" s="20">
        <v>97111</v>
      </c>
      <c r="F11" s="20">
        <v>103946</v>
      </c>
      <c r="G11" s="20">
        <v>513398</v>
      </c>
    </row>
    <row r="17" spans="2:7" x14ac:dyDescent="0.3">
      <c r="B17" s="17" t="s">
        <v>264</v>
      </c>
      <c r="C17" t="s">
        <v>297</v>
      </c>
      <c r="D17" t="s">
        <v>298</v>
      </c>
      <c r="E17" t="s">
        <v>300</v>
      </c>
      <c r="F17" t="s">
        <v>299</v>
      </c>
      <c r="G17" t="s">
        <v>301</v>
      </c>
    </row>
    <row r="18" spans="2:7" x14ac:dyDescent="0.3">
      <c r="B18" s="18" t="s">
        <v>275</v>
      </c>
      <c r="C18" s="20">
        <v>8993</v>
      </c>
      <c r="D18" s="20">
        <v>18166</v>
      </c>
      <c r="E18" s="20">
        <v>18737</v>
      </c>
      <c r="F18" s="20">
        <v>12190</v>
      </c>
      <c r="G18" s="20">
        <v>16234</v>
      </c>
    </row>
    <row r="19" spans="2:7" x14ac:dyDescent="0.3">
      <c r="B19" s="18" t="s">
        <v>274</v>
      </c>
      <c r="C19" s="20">
        <v>24821</v>
      </c>
      <c r="D19" s="20">
        <v>13396</v>
      </c>
      <c r="E19" s="20">
        <v>22665</v>
      </c>
      <c r="F19" s="20">
        <v>16942</v>
      </c>
      <c r="G19" s="20">
        <v>20553</v>
      </c>
    </row>
    <row r="20" spans="2:7" x14ac:dyDescent="0.3">
      <c r="B20" s="18" t="s">
        <v>270</v>
      </c>
      <c r="C20" s="20">
        <v>14467</v>
      </c>
      <c r="D20" s="20">
        <v>15587</v>
      </c>
      <c r="E20" s="20">
        <v>10142</v>
      </c>
      <c r="F20" s="20">
        <v>20558</v>
      </c>
      <c r="G20" s="20">
        <v>15611</v>
      </c>
    </row>
    <row r="21" spans="2:7" x14ac:dyDescent="0.3">
      <c r="B21" s="18" t="s">
        <v>272</v>
      </c>
      <c r="C21" s="20">
        <v>22590</v>
      </c>
      <c r="D21" s="20">
        <v>13960</v>
      </c>
      <c r="E21" s="20">
        <v>14922</v>
      </c>
      <c r="F21" s="20">
        <v>18124</v>
      </c>
      <c r="G21" s="20">
        <v>14466</v>
      </c>
    </row>
    <row r="22" spans="2:7" x14ac:dyDescent="0.3">
      <c r="B22" s="18" t="s">
        <v>271</v>
      </c>
      <c r="C22" s="20">
        <v>20012</v>
      </c>
      <c r="D22" s="20">
        <v>16914</v>
      </c>
      <c r="E22" s="20">
        <v>24718</v>
      </c>
      <c r="F22" s="20">
        <v>13463</v>
      </c>
      <c r="G22" s="20">
        <v>14273</v>
      </c>
    </row>
    <row r="23" spans="2:7" x14ac:dyDescent="0.3">
      <c r="B23" s="18" t="s">
        <v>273</v>
      </c>
      <c r="C23" s="20">
        <v>22813</v>
      </c>
      <c r="D23" s="20">
        <v>18049</v>
      </c>
      <c r="E23" s="20">
        <v>11389</v>
      </c>
      <c r="F23" s="20">
        <v>15834</v>
      </c>
      <c r="G23" s="20">
        <v>22809</v>
      </c>
    </row>
    <row r="24" spans="2:7" x14ac:dyDescent="0.3">
      <c r="B24" s="18" t="s">
        <v>265</v>
      </c>
      <c r="C24" s="20">
        <v>113696</v>
      </c>
      <c r="D24" s="20">
        <v>96072</v>
      </c>
      <c r="E24" s="20">
        <v>102573</v>
      </c>
      <c r="F24" s="20">
        <v>97111</v>
      </c>
      <c r="G24" s="20">
        <v>103946</v>
      </c>
    </row>
    <row r="25" spans="2:7" x14ac:dyDescent="0.3">
      <c r="B25" s="18" t="s">
        <v>265</v>
      </c>
      <c r="C25" s="20">
        <v>227392</v>
      </c>
      <c r="D25" s="20">
        <v>192144</v>
      </c>
      <c r="E25" s="20">
        <v>205146</v>
      </c>
      <c r="F25" s="20">
        <v>194222</v>
      </c>
      <c r="G25" s="20">
        <v>207892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4B1B-72DD-4561-9150-81CC054E5FFF}">
  <dimension ref="A3:G23"/>
  <sheetViews>
    <sheetView workbookViewId="0">
      <selection activeCell="A4" sqref="A4"/>
    </sheetView>
  </sheetViews>
  <sheetFormatPr defaultRowHeight="14.4" x14ac:dyDescent="0.3"/>
  <cols>
    <col min="1" max="1" width="17.21875" bestFit="1" customWidth="1"/>
    <col min="2" max="2" width="10.88671875" bestFit="1" customWidth="1"/>
    <col min="3" max="3" width="10.77734375" bestFit="1" customWidth="1"/>
    <col min="4" max="6" width="10.88671875" bestFit="1" customWidth="1"/>
    <col min="7" max="7" width="17.21875" bestFit="1" customWidth="1"/>
  </cols>
  <sheetData>
    <row r="3" spans="1:7" x14ac:dyDescent="0.3">
      <c r="A3" s="17" t="s">
        <v>280</v>
      </c>
      <c r="B3" s="17" t="s">
        <v>9</v>
      </c>
    </row>
    <row r="4" spans="1:7" x14ac:dyDescent="0.3">
      <c r="A4" s="17" t="s">
        <v>278</v>
      </c>
      <c r="B4" t="s">
        <v>251</v>
      </c>
      <c r="C4" t="s">
        <v>11</v>
      </c>
      <c r="D4" t="s">
        <v>250</v>
      </c>
      <c r="E4" t="s">
        <v>10</v>
      </c>
      <c r="F4" t="s">
        <v>252</v>
      </c>
      <c r="G4" t="s">
        <v>265</v>
      </c>
    </row>
    <row r="5" spans="1:7" x14ac:dyDescent="0.3">
      <c r="A5" s="18" t="s">
        <v>14</v>
      </c>
      <c r="B5" s="20">
        <v>417</v>
      </c>
      <c r="C5" s="20">
        <v>726</v>
      </c>
      <c r="D5" s="20">
        <v>1724.8</v>
      </c>
      <c r="E5" s="20">
        <v>933.4</v>
      </c>
      <c r="F5" s="20">
        <v>947.5</v>
      </c>
      <c r="G5" s="20">
        <v>1097.1052631578948</v>
      </c>
    </row>
    <row r="6" spans="1:7" x14ac:dyDescent="0.3">
      <c r="A6" s="18" t="s">
        <v>17</v>
      </c>
      <c r="B6" s="20">
        <v>1030.5999999999999</v>
      </c>
      <c r="C6" s="20">
        <v>764.66666666666663</v>
      </c>
      <c r="D6" s="20">
        <v>855</v>
      </c>
      <c r="E6" s="20">
        <v>1897</v>
      </c>
      <c r="F6" s="20">
        <v>1208</v>
      </c>
      <c r="G6" s="20">
        <v>1012</v>
      </c>
    </row>
    <row r="7" spans="1:7" x14ac:dyDescent="0.3">
      <c r="A7" s="18" t="s">
        <v>20</v>
      </c>
      <c r="B7" s="20">
        <v>1236.25</v>
      </c>
      <c r="C7" s="20">
        <v>1472.75</v>
      </c>
      <c r="D7" s="20">
        <v>1149.2</v>
      </c>
      <c r="E7" s="20">
        <v>865.81818181818187</v>
      </c>
      <c r="F7" s="20">
        <v>1041.5714285714287</v>
      </c>
      <c r="G7" s="20">
        <v>1077.3225806451612</v>
      </c>
    </row>
    <row r="8" spans="1:7" x14ac:dyDescent="0.3">
      <c r="A8" s="18" t="s">
        <v>22</v>
      </c>
      <c r="B8" s="20">
        <v>1239.25</v>
      </c>
      <c r="C8" s="20"/>
      <c r="D8" s="20">
        <v>721.25</v>
      </c>
      <c r="E8" s="20">
        <v>155</v>
      </c>
      <c r="F8" s="20">
        <v>1611</v>
      </c>
      <c r="G8" s="20">
        <v>1146.5714285714287</v>
      </c>
    </row>
    <row r="9" spans="1:7" x14ac:dyDescent="0.3">
      <c r="A9" s="18" t="s">
        <v>25</v>
      </c>
      <c r="B9" s="20">
        <v>1299.8888888888889</v>
      </c>
      <c r="C9" s="20">
        <v>1040.3076923076924</v>
      </c>
      <c r="D9" s="20">
        <v>790.16666666666663</v>
      </c>
      <c r="E9" s="20">
        <v>1175.8571428571429</v>
      </c>
      <c r="F9" s="20">
        <v>868.75</v>
      </c>
      <c r="G9" s="20">
        <v>1034.4680851063829</v>
      </c>
    </row>
    <row r="10" spans="1:7" x14ac:dyDescent="0.3">
      <c r="A10" s="18" t="s">
        <v>27</v>
      </c>
      <c r="B10" s="20">
        <v>723.33333333333337</v>
      </c>
      <c r="C10" s="20">
        <v>531.33333333333337</v>
      </c>
      <c r="D10" s="20">
        <v>1327.4285714285713</v>
      </c>
      <c r="E10" s="20">
        <v>1235.75</v>
      </c>
      <c r="F10" s="20">
        <v>684.75</v>
      </c>
      <c r="G10" s="20">
        <v>907.48148148148152</v>
      </c>
    </row>
    <row r="11" spans="1:7" x14ac:dyDescent="0.3">
      <c r="A11" s="18" t="s">
        <v>19</v>
      </c>
      <c r="B11" s="20">
        <v>1107.3636363636363</v>
      </c>
      <c r="C11" s="20">
        <v>1129.4285714285713</v>
      </c>
      <c r="D11" s="20">
        <v>953.57142857142856</v>
      </c>
      <c r="E11" s="20">
        <v>839.6</v>
      </c>
      <c r="F11" s="20">
        <v>1114.625</v>
      </c>
      <c r="G11" s="20">
        <v>1049.3947368421052</v>
      </c>
    </row>
    <row r="12" spans="1:7" x14ac:dyDescent="0.3">
      <c r="A12" s="18" t="s">
        <v>30</v>
      </c>
      <c r="B12" s="20">
        <v>688.5</v>
      </c>
      <c r="C12" s="20">
        <v>1493</v>
      </c>
      <c r="D12" s="20">
        <v>1247.5</v>
      </c>
      <c r="E12" s="20">
        <v>1236.2</v>
      </c>
      <c r="F12" s="20">
        <v>1537.4285714285713</v>
      </c>
      <c r="G12" s="20">
        <v>1207.0454545454545</v>
      </c>
    </row>
    <row r="13" spans="1:7" x14ac:dyDescent="0.3">
      <c r="A13" s="18" t="s">
        <v>5</v>
      </c>
      <c r="B13" s="20">
        <v>860.28571428571433</v>
      </c>
      <c r="C13" s="20">
        <v>1039.125</v>
      </c>
      <c r="D13" s="20">
        <v>976.2</v>
      </c>
      <c r="E13" s="20">
        <v>1008</v>
      </c>
      <c r="F13" s="20">
        <v>786.16666666666663</v>
      </c>
      <c r="G13" s="20">
        <v>931.9375</v>
      </c>
    </row>
    <row r="14" spans="1:7" x14ac:dyDescent="0.3">
      <c r="A14" s="18" t="s">
        <v>21</v>
      </c>
      <c r="B14" s="20">
        <v>947.66666666666663</v>
      </c>
      <c r="C14" s="20">
        <v>1032.6666666666667</v>
      </c>
      <c r="D14" s="20">
        <v>1234</v>
      </c>
      <c r="E14" s="20">
        <v>1421.3333333333333</v>
      </c>
      <c r="F14" s="20">
        <v>1596</v>
      </c>
      <c r="G14" s="20">
        <v>1185</v>
      </c>
    </row>
    <row r="15" spans="1:7" x14ac:dyDescent="0.3">
      <c r="A15" s="18" t="s">
        <v>32</v>
      </c>
      <c r="B15" s="20">
        <v>1180.5454545454545</v>
      </c>
      <c r="C15" s="20">
        <v>532.55555555555554</v>
      </c>
      <c r="D15" s="20">
        <v>783</v>
      </c>
      <c r="E15" s="20">
        <v>1524.5</v>
      </c>
      <c r="F15" s="20">
        <v>892</v>
      </c>
      <c r="G15" s="20">
        <v>902.7560975609756</v>
      </c>
    </row>
    <row r="16" spans="1:7" x14ac:dyDescent="0.3">
      <c r="A16" s="18" t="s">
        <v>33</v>
      </c>
      <c r="B16" s="20"/>
      <c r="C16" s="20"/>
      <c r="D16" s="20">
        <v>840</v>
      </c>
      <c r="E16" s="20">
        <v>662</v>
      </c>
      <c r="F16" s="20">
        <v>997</v>
      </c>
      <c r="G16" s="20">
        <v>764.6</v>
      </c>
    </row>
    <row r="17" spans="1:7" x14ac:dyDescent="0.3">
      <c r="A17" s="18" t="s">
        <v>29</v>
      </c>
      <c r="B17" s="20">
        <v>1123.8</v>
      </c>
      <c r="C17" s="20">
        <v>1045.6666666666667</v>
      </c>
      <c r="D17" s="20">
        <v>1494</v>
      </c>
      <c r="E17" s="20">
        <v>623</v>
      </c>
      <c r="F17" s="20">
        <v>908.66666666666663</v>
      </c>
      <c r="G17" s="20">
        <v>989.66666666666663</v>
      </c>
    </row>
    <row r="18" spans="1:7" x14ac:dyDescent="0.3">
      <c r="A18" s="18" t="s">
        <v>31</v>
      </c>
      <c r="B18" s="20">
        <v>1231.7142857142858</v>
      </c>
      <c r="C18" s="20">
        <v>1156.6666666666667</v>
      </c>
      <c r="D18" s="20">
        <v>1045</v>
      </c>
      <c r="E18" s="20">
        <v>1160.7272727272727</v>
      </c>
      <c r="F18" s="20">
        <v>702.83333333333337</v>
      </c>
      <c r="G18" s="20">
        <v>1080.2058823529412</v>
      </c>
    </row>
    <row r="19" spans="1:7" x14ac:dyDescent="0.3">
      <c r="A19" s="18" t="s">
        <v>26</v>
      </c>
      <c r="B19" s="20">
        <v>831</v>
      </c>
      <c r="C19" s="20">
        <v>1178.090909090909</v>
      </c>
      <c r="D19" s="20">
        <v>1001.6</v>
      </c>
      <c r="E19" s="20">
        <v>817.09090909090912</v>
      </c>
      <c r="F19" s="20">
        <v>1016.3333333333334</v>
      </c>
      <c r="G19" s="20">
        <v>966.36538461538464</v>
      </c>
    </row>
    <row r="20" spans="1:7" x14ac:dyDescent="0.3">
      <c r="A20" s="18" t="s">
        <v>34</v>
      </c>
      <c r="B20" s="20"/>
      <c r="C20" s="20">
        <v>685.33333333333337</v>
      </c>
      <c r="D20" s="20">
        <v>1774</v>
      </c>
      <c r="E20" s="20">
        <v>1136.5</v>
      </c>
      <c r="F20" s="20">
        <v>689</v>
      </c>
      <c r="G20" s="20">
        <v>970.28571428571433</v>
      </c>
    </row>
    <row r="21" spans="1:7" x14ac:dyDescent="0.3">
      <c r="A21" s="18" t="s">
        <v>28</v>
      </c>
      <c r="B21" s="20">
        <v>675.875</v>
      </c>
      <c r="C21" s="20">
        <v>1001.25</v>
      </c>
      <c r="D21" s="20">
        <v>1170.5714285714287</v>
      </c>
      <c r="E21" s="20">
        <v>1353.4</v>
      </c>
      <c r="F21" s="20">
        <v>1138</v>
      </c>
      <c r="G21" s="20">
        <v>1029.0625</v>
      </c>
    </row>
    <row r="22" spans="1:7" x14ac:dyDescent="0.3">
      <c r="A22" s="18" t="s">
        <v>4</v>
      </c>
      <c r="B22" s="20">
        <v>1269.4166666666667</v>
      </c>
      <c r="C22" s="20">
        <v>865.90909090909088</v>
      </c>
      <c r="D22" s="20">
        <v>1048</v>
      </c>
      <c r="E22" s="20">
        <v>1303.909090909091</v>
      </c>
      <c r="F22" s="20">
        <v>923.44444444444446</v>
      </c>
      <c r="G22" s="20">
        <v>1088.4827586206898</v>
      </c>
    </row>
    <row r="23" spans="1:7" x14ac:dyDescent="0.3">
      <c r="A23" s="18" t="s">
        <v>265</v>
      </c>
      <c r="B23" s="20">
        <v>1033.5999999999999</v>
      </c>
      <c r="C23" s="20">
        <v>970.42424242424238</v>
      </c>
      <c r="D23" s="20">
        <v>1057.4536082474226</v>
      </c>
      <c r="E23" s="20">
        <v>1067.1538461538462</v>
      </c>
      <c r="F23" s="20">
        <v>1009.1844660194175</v>
      </c>
      <c r="G23" s="20">
        <v>1026.796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DD14-4FBC-482D-8183-17E9BAFE1859}">
  <dimension ref="A3:F11"/>
  <sheetViews>
    <sheetView workbookViewId="0">
      <selection activeCell="A3" sqref="A3"/>
    </sheetView>
  </sheetViews>
  <sheetFormatPr defaultRowHeight="14.4" x14ac:dyDescent="0.3"/>
  <cols>
    <col min="1" max="1" width="17.6640625" bestFit="1" customWidth="1"/>
    <col min="2" max="2" width="20.109375" bestFit="1" customWidth="1"/>
    <col min="3" max="3" width="5.77734375" bestFit="1" customWidth="1"/>
    <col min="4" max="4" width="6" bestFit="1" customWidth="1"/>
    <col min="5" max="5" width="4.5546875" bestFit="1" customWidth="1"/>
    <col min="6" max="6" width="17.21875" bestFit="1" customWidth="1"/>
  </cols>
  <sheetData>
    <row r="3" spans="1:6" x14ac:dyDescent="0.3">
      <c r="A3" s="17" t="s">
        <v>283</v>
      </c>
      <c r="B3" s="17" t="s">
        <v>266</v>
      </c>
    </row>
    <row r="4" spans="1:6" x14ac:dyDescent="0.3">
      <c r="A4" s="17" t="s">
        <v>264</v>
      </c>
      <c r="B4" t="s">
        <v>15</v>
      </c>
      <c r="C4" t="s">
        <v>23</v>
      </c>
      <c r="D4" t="s">
        <v>16</v>
      </c>
      <c r="E4" t="s">
        <v>18</v>
      </c>
      <c r="F4" t="s">
        <v>265</v>
      </c>
    </row>
    <row r="5" spans="1:6" x14ac:dyDescent="0.3">
      <c r="A5" s="18" t="s">
        <v>247</v>
      </c>
      <c r="B5" s="21">
        <v>30</v>
      </c>
      <c r="C5" s="21">
        <v>11</v>
      </c>
      <c r="D5" s="21">
        <v>29</v>
      </c>
      <c r="E5" s="21">
        <v>13</v>
      </c>
      <c r="F5" s="21">
        <v>83</v>
      </c>
    </row>
    <row r="6" spans="1:6" x14ac:dyDescent="0.3">
      <c r="A6" s="18" t="s">
        <v>3</v>
      </c>
      <c r="B6" s="21">
        <v>26</v>
      </c>
      <c r="C6" s="21">
        <v>12</v>
      </c>
      <c r="D6" s="21">
        <v>44</v>
      </c>
      <c r="E6" s="21">
        <v>5</v>
      </c>
      <c r="F6" s="21">
        <v>87</v>
      </c>
    </row>
    <row r="7" spans="1:6" x14ac:dyDescent="0.3">
      <c r="A7" s="18" t="s">
        <v>248</v>
      </c>
      <c r="B7" s="21">
        <v>20</v>
      </c>
      <c r="C7" s="21">
        <v>6</v>
      </c>
      <c r="D7" s="21">
        <v>42</v>
      </c>
      <c r="E7" s="21">
        <v>12</v>
      </c>
      <c r="F7" s="21">
        <v>80</v>
      </c>
    </row>
    <row r="8" spans="1:6" x14ac:dyDescent="0.3">
      <c r="A8" s="18" t="s">
        <v>8</v>
      </c>
      <c r="B8" s="21">
        <v>18</v>
      </c>
      <c r="C8" s="21">
        <v>5</v>
      </c>
      <c r="D8" s="21">
        <v>40</v>
      </c>
      <c r="E8" s="21">
        <v>7</v>
      </c>
      <c r="F8" s="21">
        <v>70</v>
      </c>
    </row>
    <row r="9" spans="1:6" x14ac:dyDescent="0.3">
      <c r="A9" s="18" t="s">
        <v>1</v>
      </c>
      <c r="B9" s="21">
        <v>29</v>
      </c>
      <c r="C9" s="21">
        <v>8</v>
      </c>
      <c r="D9" s="21">
        <v>45</v>
      </c>
      <c r="E9" s="21">
        <v>14</v>
      </c>
      <c r="F9" s="21">
        <v>96</v>
      </c>
    </row>
    <row r="10" spans="1:6" x14ac:dyDescent="0.3">
      <c r="A10" s="18" t="s">
        <v>2</v>
      </c>
      <c r="B10" s="21">
        <v>29</v>
      </c>
      <c r="C10" s="21">
        <v>7</v>
      </c>
      <c r="D10" s="21">
        <v>34</v>
      </c>
      <c r="E10" s="21">
        <v>14</v>
      </c>
      <c r="F10" s="21">
        <v>84</v>
      </c>
    </row>
    <row r="11" spans="1:6" x14ac:dyDescent="0.3">
      <c r="A11" s="18" t="s">
        <v>265</v>
      </c>
      <c r="B11" s="21">
        <v>152</v>
      </c>
      <c r="C11" s="21">
        <v>49</v>
      </c>
      <c r="D11" s="21">
        <v>234</v>
      </c>
      <c r="E11" s="21">
        <v>65</v>
      </c>
      <c r="F11" s="21">
        <v>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AE40-C178-49EE-AF87-F1C118ABA78C}">
  <dimension ref="A3:H25"/>
  <sheetViews>
    <sheetView workbookViewId="0">
      <selection activeCell="I18" sqref="I18"/>
    </sheetView>
  </sheetViews>
  <sheetFormatPr defaultRowHeight="14.4" x14ac:dyDescent="0.3"/>
  <cols>
    <col min="1" max="2" width="32.21875" bestFit="1" customWidth="1"/>
    <col min="3" max="3" width="15.6640625" bestFit="1" customWidth="1"/>
    <col min="4" max="4" width="16.109375" bestFit="1" customWidth="1"/>
    <col min="5" max="5" width="14" bestFit="1" customWidth="1"/>
    <col min="6" max="6" width="13.44140625" bestFit="1" customWidth="1"/>
    <col min="7" max="7" width="14.21875" bestFit="1" customWidth="1"/>
    <col min="8" max="8" width="14.44140625" bestFit="1" customWidth="1"/>
    <col min="9" max="37" width="32.88671875" bestFit="1" customWidth="1"/>
    <col min="38" max="38" width="23.33203125" bestFit="1" customWidth="1"/>
    <col min="39" max="39" width="23.77734375" bestFit="1" customWidth="1"/>
    <col min="40" max="40" width="21.6640625" bestFit="1" customWidth="1"/>
    <col min="41" max="41" width="21" bestFit="1" customWidth="1"/>
    <col min="42" max="42" width="21.88671875" bestFit="1" customWidth="1"/>
    <col min="43" max="43" width="22.109375" bestFit="1" customWidth="1"/>
  </cols>
  <sheetData>
    <row r="3" spans="1:8" x14ac:dyDescent="0.3">
      <c r="A3" s="17" t="s">
        <v>290</v>
      </c>
      <c r="B3" s="17" t="s">
        <v>0</v>
      </c>
    </row>
    <row r="4" spans="1:8" x14ac:dyDescent="0.3">
      <c r="A4" s="17" t="s">
        <v>291</v>
      </c>
      <c r="B4" t="s">
        <v>247</v>
      </c>
      <c r="C4" t="s">
        <v>3</v>
      </c>
      <c r="D4" t="s">
        <v>248</v>
      </c>
      <c r="E4" t="s">
        <v>8</v>
      </c>
      <c r="F4" t="s">
        <v>1</v>
      </c>
      <c r="G4" t="s">
        <v>2</v>
      </c>
      <c r="H4" t="s">
        <v>265</v>
      </c>
    </row>
    <row r="5" spans="1:8" x14ac:dyDescent="0.3">
      <c r="A5" s="18" t="s">
        <v>285</v>
      </c>
      <c r="B5" s="21">
        <v>18</v>
      </c>
      <c r="C5" s="21">
        <v>13</v>
      </c>
      <c r="D5" s="21">
        <v>16</v>
      </c>
      <c r="E5" s="21">
        <v>13</v>
      </c>
      <c r="F5" s="21">
        <v>14</v>
      </c>
      <c r="G5" s="21">
        <v>17</v>
      </c>
      <c r="H5" s="21">
        <v>91</v>
      </c>
    </row>
    <row r="6" spans="1:8" x14ac:dyDescent="0.3">
      <c r="A6" s="18" t="s">
        <v>286</v>
      </c>
      <c r="B6" s="21">
        <v>15</v>
      </c>
      <c r="C6" s="21">
        <v>14</v>
      </c>
      <c r="D6" s="21">
        <v>10</v>
      </c>
      <c r="E6" s="21">
        <v>12</v>
      </c>
      <c r="F6" s="21">
        <v>14</v>
      </c>
      <c r="G6" s="21">
        <v>16</v>
      </c>
      <c r="H6" s="21">
        <v>81</v>
      </c>
    </row>
    <row r="7" spans="1:8" x14ac:dyDescent="0.3">
      <c r="A7" s="18" t="s">
        <v>287</v>
      </c>
      <c r="B7" s="21">
        <v>15</v>
      </c>
      <c r="C7" s="21">
        <v>19</v>
      </c>
      <c r="D7" s="21">
        <v>14</v>
      </c>
      <c r="E7" s="21">
        <v>18</v>
      </c>
      <c r="F7" s="21">
        <v>20</v>
      </c>
      <c r="G7" s="21">
        <v>13</v>
      </c>
      <c r="H7" s="21">
        <v>99</v>
      </c>
    </row>
    <row r="8" spans="1:8" x14ac:dyDescent="0.3">
      <c r="A8" s="18" t="s">
        <v>288</v>
      </c>
      <c r="B8" s="21">
        <v>10</v>
      </c>
      <c r="C8" s="21">
        <v>17</v>
      </c>
      <c r="D8" s="21">
        <v>17</v>
      </c>
      <c r="E8" s="21">
        <v>11</v>
      </c>
      <c r="F8" s="21">
        <v>27</v>
      </c>
      <c r="G8" s="21">
        <v>15</v>
      </c>
      <c r="H8" s="21">
        <v>97</v>
      </c>
    </row>
    <row r="9" spans="1:8" x14ac:dyDescent="0.3">
      <c r="A9" s="18" t="s">
        <v>289</v>
      </c>
      <c r="B9" s="21">
        <v>25</v>
      </c>
      <c r="C9" s="21">
        <v>24</v>
      </c>
      <c r="D9" s="21">
        <v>23</v>
      </c>
      <c r="E9" s="21">
        <v>16</v>
      </c>
      <c r="F9" s="21">
        <v>21</v>
      </c>
      <c r="G9" s="21">
        <v>23</v>
      </c>
      <c r="H9" s="21">
        <v>132</v>
      </c>
    </row>
    <row r="10" spans="1:8" x14ac:dyDescent="0.3">
      <c r="A10" s="18" t="s">
        <v>265</v>
      </c>
      <c r="B10" s="21">
        <v>83</v>
      </c>
      <c r="C10" s="21">
        <v>87</v>
      </c>
      <c r="D10" s="21">
        <v>80</v>
      </c>
      <c r="E10" s="21">
        <v>70</v>
      </c>
      <c r="F10" s="21">
        <v>96</v>
      </c>
      <c r="G10" s="21">
        <v>84</v>
      </c>
      <c r="H10" s="21">
        <v>500</v>
      </c>
    </row>
    <row r="18" spans="2:8" x14ac:dyDescent="0.3">
      <c r="B18" s="17" t="s">
        <v>264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</row>
    <row r="19" spans="2:8" x14ac:dyDescent="0.3">
      <c r="B19" s="18" t="s">
        <v>285</v>
      </c>
      <c r="C19" s="21">
        <v>18</v>
      </c>
      <c r="D19" s="21">
        <v>13</v>
      </c>
      <c r="E19" s="21">
        <v>16</v>
      </c>
      <c r="F19" s="21">
        <v>13</v>
      </c>
      <c r="G19" s="21">
        <v>14</v>
      </c>
      <c r="H19" s="21">
        <v>17</v>
      </c>
    </row>
    <row r="20" spans="2:8" x14ac:dyDescent="0.3">
      <c r="B20" s="18" t="s">
        <v>288</v>
      </c>
      <c r="C20" s="21">
        <v>10</v>
      </c>
      <c r="D20" s="21">
        <v>17</v>
      </c>
      <c r="E20" s="21">
        <v>17</v>
      </c>
      <c r="F20" s="21">
        <v>11</v>
      </c>
      <c r="G20" s="21">
        <v>27</v>
      </c>
      <c r="H20" s="21">
        <v>15</v>
      </c>
    </row>
    <row r="21" spans="2:8" x14ac:dyDescent="0.3">
      <c r="B21" s="18" t="s">
        <v>287</v>
      </c>
      <c r="C21" s="21">
        <v>15</v>
      </c>
      <c r="D21" s="21">
        <v>19</v>
      </c>
      <c r="E21" s="21">
        <v>14</v>
      </c>
      <c r="F21" s="21">
        <v>18</v>
      </c>
      <c r="G21" s="21">
        <v>20</v>
      </c>
      <c r="H21" s="21">
        <v>13</v>
      </c>
    </row>
    <row r="22" spans="2:8" x14ac:dyDescent="0.3">
      <c r="B22" s="18" t="s">
        <v>286</v>
      </c>
      <c r="C22" s="21">
        <v>15</v>
      </c>
      <c r="D22" s="21">
        <v>14</v>
      </c>
      <c r="E22" s="21">
        <v>10</v>
      </c>
      <c r="F22" s="21">
        <v>12</v>
      </c>
      <c r="G22" s="21">
        <v>14</v>
      </c>
      <c r="H22" s="21">
        <v>16</v>
      </c>
    </row>
    <row r="23" spans="2:8" x14ac:dyDescent="0.3">
      <c r="B23" s="18" t="s">
        <v>289</v>
      </c>
      <c r="C23" s="21">
        <v>25</v>
      </c>
      <c r="D23" s="21">
        <v>24</v>
      </c>
      <c r="E23" s="21">
        <v>23</v>
      </c>
      <c r="F23" s="21">
        <v>16</v>
      </c>
      <c r="G23" s="21">
        <v>21</v>
      </c>
      <c r="H23" s="21">
        <v>23</v>
      </c>
    </row>
    <row r="24" spans="2:8" x14ac:dyDescent="0.3">
      <c r="B24" s="18" t="s">
        <v>265</v>
      </c>
      <c r="C24" s="21">
        <v>83</v>
      </c>
      <c r="D24" s="21">
        <v>87</v>
      </c>
      <c r="E24" s="21">
        <v>80</v>
      </c>
      <c r="F24" s="21">
        <v>70</v>
      </c>
      <c r="G24" s="21">
        <v>96</v>
      </c>
      <c r="H24" s="21">
        <v>84</v>
      </c>
    </row>
    <row r="25" spans="2:8" x14ac:dyDescent="0.3">
      <c r="B25" s="18" t="s">
        <v>265</v>
      </c>
      <c r="C25" s="21">
        <v>166</v>
      </c>
      <c r="D25" s="21">
        <v>174</v>
      </c>
      <c r="E25" s="21">
        <v>160</v>
      </c>
      <c r="F25" s="21">
        <v>140</v>
      </c>
      <c r="G25" s="21">
        <v>192</v>
      </c>
      <c r="H25" s="21">
        <v>168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CFC7-35CF-4E40-A6A7-72BD54196954}">
  <dimension ref="A3:E27"/>
  <sheetViews>
    <sheetView workbookViewId="0">
      <selection activeCell="A11" sqref="A11"/>
    </sheetView>
  </sheetViews>
  <sheetFormatPr defaultRowHeight="14.4" x14ac:dyDescent="0.3"/>
  <cols>
    <col min="1" max="1" width="21.109375" bestFit="1" customWidth="1"/>
    <col min="2" max="3" width="11.88671875" bestFit="1" customWidth="1"/>
    <col min="4" max="4" width="12.88671875" bestFit="1" customWidth="1"/>
    <col min="5" max="5" width="17.21875" bestFit="1" customWidth="1"/>
    <col min="6" max="6" width="12.88671875" bestFit="1" customWidth="1"/>
    <col min="7" max="7" width="17.21875" bestFit="1" customWidth="1"/>
  </cols>
  <sheetData>
    <row r="3" spans="1:5" x14ac:dyDescent="0.3">
      <c r="A3" s="17" t="s">
        <v>293</v>
      </c>
      <c r="B3" s="17" t="s">
        <v>9</v>
      </c>
    </row>
    <row r="4" spans="1:5" x14ac:dyDescent="0.3">
      <c r="A4" s="17" t="s">
        <v>292</v>
      </c>
      <c r="B4" t="s">
        <v>11</v>
      </c>
      <c r="C4" t="s">
        <v>10</v>
      </c>
      <c r="D4" t="s">
        <v>252</v>
      </c>
      <c r="E4" t="s">
        <v>265</v>
      </c>
    </row>
    <row r="5" spans="1:5" x14ac:dyDescent="0.3">
      <c r="A5" s="18" t="s">
        <v>15</v>
      </c>
      <c r="B5" s="20">
        <v>33425</v>
      </c>
      <c r="C5" s="20">
        <v>28884</v>
      </c>
      <c r="D5" s="20">
        <v>29897</v>
      </c>
      <c r="E5" s="20">
        <v>92206</v>
      </c>
    </row>
    <row r="6" spans="1:5" x14ac:dyDescent="0.3">
      <c r="A6" s="19" t="s">
        <v>14</v>
      </c>
      <c r="B6" s="20">
        <v>1452</v>
      </c>
      <c r="C6" s="20">
        <v>4667</v>
      </c>
      <c r="D6" s="20">
        <v>5685</v>
      </c>
      <c r="E6" s="20">
        <v>11804</v>
      </c>
    </row>
    <row r="7" spans="1:5" x14ac:dyDescent="0.3">
      <c r="A7" s="19" t="s">
        <v>19</v>
      </c>
      <c r="B7" s="20">
        <v>7906</v>
      </c>
      <c r="C7" s="20">
        <v>4198</v>
      </c>
      <c r="D7" s="20">
        <v>8917</v>
      </c>
      <c r="E7" s="20">
        <v>21021</v>
      </c>
    </row>
    <row r="8" spans="1:5" x14ac:dyDescent="0.3">
      <c r="A8" s="19" t="s">
        <v>21</v>
      </c>
      <c r="B8" s="20">
        <v>3098</v>
      </c>
      <c r="C8" s="20">
        <v>4264</v>
      </c>
      <c r="D8" s="20">
        <v>1596</v>
      </c>
      <c r="E8" s="20">
        <v>8958</v>
      </c>
    </row>
    <row r="9" spans="1:5" x14ac:dyDescent="0.3">
      <c r="A9" s="19" t="s">
        <v>26</v>
      </c>
      <c r="B9" s="20">
        <v>12959</v>
      </c>
      <c r="C9" s="20">
        <v>8988</v>
      </c>
      <c r="D9" s="20">
        <v>9147</v>
      </c>
      <c r="E9" s="20">
        <v>31094</v>
      </c>
    </row>
    <row r="10" spans="1:5" x14ac:dyDescent="0.3">
      <c r="A10" s="19" t="s">
        <v>28</v>
      </c>
      <c r="B10" s="20">
        <v>8010</v>
      </c>
      <c r="C10" s="20">
        <v>6767</v>
      </c>
      <c r="D10" s="20">
        <v>4552</v>
      </c>
      <c r="E10" s="20">
        <v>19329</v>
      </c>
    </row>
    <row r="11" spans="1:5" x14ac:dyDescent="0.3">
      <c r="A11" s="18" t="s">
        <v>23</v>
      </c>
      <c r="B11" s="20">
        <v>10077</v>
      </c>
      <c r="C11" s="20">
        <v>14637</v>
      </c>
      <c r="D11" s="20">
        <v>6943</v>
      </c>
      <c r="E11" s="20">
        <v>31657</v>
      </c>
    </row>
    <row r="12" spans="1:5" x14ac:dyDescent="0.3">
      <c r="A12" s="19" t="s">
        <v>29</v>
      </c>
      <c r="B12" s="20">
        <v>3137</v>
      </c>
      <c r="C12" s="20">
        <v>1869</v>
      </c>
      <c r="D12" s="20">
        <v>2726</v>
      </c>
      <c r="E12" s="20">
        <v>7732</v>
      </c>
    </row>
    <row r="13" spans="1:5" x14ac:dyDescent="0.3">
      <c r="A13" s="19" t="s">
        <v>31</v>
      </c>
      <c r="B13" s="20">
        <v>6940</v>
      </c>
      <c r="C13" s="20">
        <v>12768</v>
      </c>
      <c r="D13" s="20">
        <v>4217</v>
      </c>
      <c r="E13" s="20">
        <v>23925</v>
      </c>
    </row>
    <row r="14" spans="1:5" x14ac:dyDescent="0.3">
      <c r="A14" s="18" t="s">
        <v>16</v>
      </c>
      <c r="B14" s="20">
        <v>44385</v>
      </c>
      <c r="C14" s="20">
        <v>40028</v>
      </c>
      <c r="D14" s="20">
        <v>48347</v>
      </c>
      <c r="E14" s="20">
        <v>132760</v>
      </c>
    </row>
    <row r="15" spans="1:5" x14ac:dyDescent="0.3">
      <c r="A15" s="19" t="s">
        <v>25</v>
      </c>
      <c r="B15" s="20">
        <v>13524</v>
      </c>
      <c r="C15" s="20">
        <v>8231</v>
      </c>
      <c r="D15" s="20">
        <v>10425</v>
      </c>
      <c r="E15" s="20">
        <v>32180</v>
      </c>
    </row>
    <row r="16" spans="1:5" x14ac:dyDescent="0.3">
      <c r="A16" s="19" t="s">
        <v>27</v>
      </c>
      <c r="B16" s="20">
        <v>3188</v>
      </c>
      <c r="C16" s="20">
        <v>4943</v>
      </c>
      <c r="D16" s="20">
        <v>2739</v>
      </c>
      <c r="E16" s="20">
        <v>10870</v>
      </c>
    </row>
    <row r="17" spans="1:5" x14ac:dyDescent="0.3">
      <c r="A17" s="19" t="s">
        <v>30</v>
      </c>
      <c r="B17" s="20">
        <v>2986</v>
      </c>
      <c r="C17" s="20">
        <v>6181</v>
      </c>
      <c r="D17" s="20">
        <v>10762</v>
      </c>
      <c r="E17" s="20">
        <v>19929</v>
      </c>
    </row>
    <row r="18" spans="1:5" x14ac:dyDescent="0.3">
      <c r="A18" s="19" t="s">
        <v>5</v>
      </c>
      <c r="B18" s="20">
        <v>8313</v>
      </c>
      <c r="C18" s="20">
        <v>1008</v>
      </c>
      <c r="D18" s="20">
        <v>4717</v>
      </c>
      <c r="E18" s="20">
        <v>14038</v>
      </c>
    </row>
    <row r="19" spans="1:5" x14ac:dyDescent="0.3">
      <c r="A19" s="19" t="s">
        <v>32</v>
      </c>
      <c r="B19" s="20">
        <v>4793</v>
      </c>
      <c r="C19" s="20">
        <v>3049</v>
      </c>
      <c r="D19" s="20">
        <v>10704</v>
      </c>
      <c r="E19" s="20">
        <v>18546</v>
      </c>
    </row>
    <row r="20" spans="1:5" x14ac:dyDescent="0.3">
      <c r="A20" s="19" t="s">
        <v>34</v>
      </c>
      <c r="B20" s="20">
        <v>2056</v>
      </c>
      <c r="C20" s="20">
        <v>2273</v>
      </c>
      <c r="D20" s="20">
        <v>689</v>
      </c>
      <c r="E20" s="20">
        <v>5018</v>
      </c>
    </row>
    <row r="21" spans="1:5" x14ac:dyDescent="0.3">
      <c r="A21" s="19" t="s">
        <v>4</v>
      </c>
      <c r="B21" s="20">
        <v>9525</v>
      </c>
      <c r="C21" s="20">
        <v>14343</v>
      </c>
      <c r="D21" s="20">
        <v>8311</v>
      </c>
      <c r="E21" s="20">
        <v>32179</v>
      </c>
    </row>
    <row r="22" spans="1:5" x14ac:dyDescent="0.3">
      <c r="A22" s="18" t="s">
        <v>18</v>
      </c>
      <c r="B22" s="20">
        <v>8185</v>
      </c>
      <c r="C22" s="20">
        <v>13562</v>
      </c>
      <c r="D22" s="20">
        <v>18759</v>
      </c>
      <c r="E22" s="20">
        <v>40506</v>
      </c>
    </row>
    <row r="23" spans="1:5" x14ac:dyDescent="0.3">
      <c r="A23" s="19" t="s">
        <v>17</v>
      </c>
      <c r="B23" s="20">
        <v>2294</v>
      </c>
      <c r="C23" s="20">
        <v>1897</v>
      </c>
      <c r="D23" s="20">
        <v>2416</v>
      </c>
      <c r="E23" s="20">
        <v>6607</v>
      </c>
    </row>
    <row r="24" spans="1:5" x14ac:dyDescent="0.3">
      <c r="A24" s="19" t="s">
        <v>20</v>
      </c>
      <c r="B24" s="20">
        <v>5891</v>
      </c>
      <c r="C24" s="20">
        <v>9524</v>
      </c>
      <c r="D24" s="20">
        <v>7291</v>
      </c>
      <c r="E24" s="20">
        <v>22706</v>
      </c>
    </row>
    <row r="25" spans="1:5" x14ac:dyDescent="0.3">
      <c r="A25" s="19" t="s">
        <v>22</v>
      </c>
      <c r="B25" s="20"/>
      <c r="C25" s="20">
        <v>155</v>
      </c>
      <c r="D25" s="20">
        <v>8055</v>
      </c>
      <c r="E25" s="20">
        <v>8210</v>
      </c>
    </row>
    <row r="26" spans="1:5" x14ac:dyDescent="0.3">
      <c r="A26" s="19" t="s">
        <v>33</v>
      </c>
      <c r="B26" s="20"/>
      <c r="C26" s="20">
        <v>1986</v>
      </c>
      <c r="D26" s="20">
        <v>997</v>
      </c>
      <c r="E26" s="20">
        <v>2983</v>
      </c>
    </row>
    <row r="27" spans="1:5" x14ac:dyDescent="0.3">
      <c r="A27" s="18" t="s">
        <v>265</v>
      </c>
      <c r="B27" s="20">
        <v>96072</v>
      </c>
      <c r="C27" s="20">
        <v>97111</v>
      </c>
      <c r="D27" s="20">
        <v>103946</v>
      </c>
      <c r="E27" s="20">
        <v>297129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DAF4-F474-4C90-9520-42FCD4396F40}">
  <dimension ref="A3:C9"/>
  <sheetViews>
    <sheetView tabSelected="1" workbookViewId="0">
      <selection activeCell="B3" sqref="B3"/>
    </sheetView>
  </sheetViews>
  <sheetFormatPr defaultRowHeight="14.4" x14ac:dyDescent="0.3"/>
  <cols>
    <col min="1" max="1" width="17.21875" bestFit="1" customWidth="1"/>
    <col min="2" max="2" width="30.5546875" bestFit="1" customWidth="1"/>
    <col min="3" max="3" width="17.21875" bestFit="1" customWidth="1"/>
    <col min="4" max="4" width="39.6640625" bestFit="1" customWidth="1"/>
    <col min="5" max="5" width="47.77734375" bestFit="1" customWidth="1"/>
  </cols>
  <sheetData>
    <row r="3" spans="1:3" x14ac:dyDescent="0.3">
      <c r="A3" s="17" t="s">
        <v>296</v>
      </c>
      <c r="B3" t="s">
        <v>294</v>
      </c>
      <c r="C3" t="s">
        <v>295</v>
      </c>
    </row>
    <row r="4" spans="1:3" x14ac:dyDescent="0.3">
      <c r="A4" s="18" t="s">
        <v>258</v>
      </c>
      <c r="B4" s="23">
        <v>0.17743349214449608</v>
      </c>
      <c r="C4" s="23">
        <v>0.19400000000000001</v>
      </c>
    </row>
    <row r="5" spans="1:3" x14ac:dyDescent="0.3">
      <c r="A5" s="18" t="s">
        <v>260</v>
      </c>
      <c r="B5" s="23">
        <v>0.2406378676971862</v>
      </c>
      <c r="C5" s="23">
        <v>0.222</v>
      </c>
    </row>
    <row r="6" spans="1:3" x14ac:dyDescent="0.3">
      <c r="A6" s="18" t="s">
        <v>259</v>
      </c>
      <c r="B6" s="23">
        <v>0.18649663613804496</v>
      </c>
      <c r="C6" s="23">
        <v>0.186</v>
      </c>
    </row>
    <row r="7" spans="1:3" x14ac:dyDescent="0.3">
      <c r="A7" s="18" t="s">
        <v>261</v>
      </c>
      <c r="B7" s="23">
        <v>0.18610512701646675</v>
      </c>
      <c r="C7" s="23">
        <v>0.182</v>
      </c>
    </row>
    <row r="8" spans="1:3" x14ac:dyDescent="0.3">
      <c r="A8" s="18" t="s">
        <v>262</v>
      </c>
      <c r="B8" s="23">
        <v>0.20932687700380601</v>
      </c>
      <c r="C8" s="23">
        <v>0.216</v>
      </c>
    </row>
    <row r="9" spans="1:3" x14ac:dyDescent="0.3">
      <c r="A9" s="18" t="s">
        <v>265</v>
      </c>
      <c r="B9" s="23">
        <v>1</v>
      </c>
      <c r="C9" s="23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1</vt:i4>
      </vt:variant>
    </vt:vector>
  </HeadingPairs>
  <TitlesOfParts>
    <vt:vector size="11" baseType="lpstr">
      <vt:lpstr>Vendite</vt:lpstr>
      <vt:lpstr>Dati di Supporto</vt:lpstr>
      <vt:lpstr>Esercizio 1</vt:lpstr>
      <vt:lpstr>Esercizio 2</vt:lpstr>
      <vt:lpstr>Esercizio 3</vt:lpstr>
      <vt:lpstr>Esercizio 4</vt:lpstr>
      <vt:lpstr>Esercizio 5</vt:lpstr>
      <vt:lpstr>Esercizio 6</vt:lpstr>
      <vt:lpstr>Esercizio 7</vt:lpstr>
      <vt:lpstr>Esercizio 8</vt:lpstr>
      <vt:lpstr>Vendite!tabella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Anna Bonosi</cp:lastModifiedBy>
  <dcterms:created xsi:type="dcterms:W3CDTF">2011-11-27T10:06:06Z</dcterms:created>
  <dcterms:modified xsi:type="dcterms:W3CDTF">2026-02-22T12:53:40Z</dcterms:modified>
</cp:coreProperties>
</file>